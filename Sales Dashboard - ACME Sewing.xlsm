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Documents\Website\Excel Projects\"/>
    </mc:Choice>
  </mc:AlternateContent>
  <xr:revisionPtr revIDLastSave="0" documentId="8_{B07084BB-51A4-480B-9AB1-BE1C6C044047}" xr6:coauthVersionLast="47" xr6:coauthVersionMax="47" xr10:uidLastSave="{00000000-0000-0000-0000-000000000000}"/>
  <bookViews>
    <workbookView xWindow="-120" yWindow="-120" windowWidth="29040" windowHeight="15840" xr2:uid="{91F80F86-0D83-439F-AAFE-9869A5508EF8}"/>
  </bookViews>
  <sheets>
    <sheet name="Project Overview" sheetId="7" r:id="rId1"/>
    <sheet name="Dashboard" sheetId="4" r:id="rId2"/>
    <sheet name="Targets" sheetId="1" r:id="rId3"/>
    <sheet name="Transactions" sheetId="3" r:id="rId4"/>
    <sheet name="Shifts" sheetId="2" r:id="rId5"/>
    <sheet name="ChartTable" sheetId="6" state="hidden" r:id="rId6"/>
    <sheet name="Background" sheetId="5" state="hidden" r:id="rId7"/>
  </sheets>
  <definedNames>
    <definedName name="_xlnm._FilterDatabase" localSheetId="5" hidden="1">ChartTable!$B$2:$D$8</definedName>
    <definedName name="_xlnm._FilterDatabase" localSheetId="3" hidden="1">Transactions!$A$1:$G$1002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P44" i="4"/>
  <c r="O44" i="4"/>
  <c r="N44" i="4"/>
  <c r="M44" i="4"/>
  <c r="L44" i="4"/>
  <c r="H44" i="4"/>
  <c r="G44" i="4"/>
  <c r="F44" i="4"/>
  <c r="E44" i="4"/>
  <c r="D44" i="4"/>
  <c r="P35" i="4"/>
  <c r="O35" i="4"/>
  <c r="N35" i="4"/>
  <c r="M35" i="4"/>
  <c r="L35" i="4"/>
  <c r="H35" i="4"/>
  <c r="G35" i="4"/>
  <c r="F35" i="4"/>
  <c r="E35" i="4"/>
  <c r="D35" i="4"/>
  <c r="P26" i="4"/>
  <c r="O26" i="4"/>
  <c r="N26" i="4"/>
  <c r="M26" i="4"/>
  <c r="L26" i="4"/>
  <c r="H26" i="4"/>
  <c r="G26" i="4"/>
  <c r="F26" i="4"/>
  <c r="E26" i="4"/>
  <c r="D26" i="4"/>
  <c r="G14" i="4"/>
  <c r="H10" i="4"/>
  <c r="G10" i="4"/>
  <c r="G13" i="4" s="1"/>
  <c r="G15" i="4" s="1"/>
  <c r="F10" i="4"/>
  <c r="E10" i="4"/>
  <c r="D10" i="4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2" i="3"/>
  <c r="B96" i="3" l="1"/>
  <c r="B87" i="3"/>
  <c r="B7" i="6"/>
  <c r="B6" i="6"/>
  <c r="B5" i="6"/>
  <c r="B4" i="6"/>
  <c r="B3" i="6"/>
  <c r="B8" i="6"/>
  <c r="C7" i="6"/>
  <c r="C6" i="6"/>
  <c r="C5" i="6"/>
  <c r="C4" i="6"/>
  <c r="C3" i="6"/>
  <c r="C8" i="6"/>
  <c r="B43" i="4" l="1"/>
  <c r="J34" i="4"/>
  <c r="J43" i="4"/>
  <c r="K42" i="4"/>
  <c r="K33" i="4"/>
  <c r="C42" i="4"/>
  <c r="B34" i="4"/>
  <c r="C33" i="4"/>
  <c r="J25" i="4"/>
  <c r="K24" i="4"/>
  <c r="B25" i="4"/>
  <c r="C24" i="4"/>
  <c r="E14" i="4"/>
  <c r="F14" i="4"/>
  <c r="H14" i="4"/>
  <c r="D14" i="4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36" i="3"/>
  <c r="B95" i="3"/>
  <c r="B34" i="3"/>
  <c r="B97" i="3"/>
  <c r="B94" i="3"/>
  <c r="B31" i="3"/>
  <c r="B90" i="3"/>
  <c r="B89" i="3"/>
  <c r="B28" i="3"/>
  <c r="B25" i="3"/>
  <c r="B85" i="3"/>
  <c r="B84" i="3"/>
  <c r="B83" i="3"/>
  <c r="B24" i="3"/>
  <c r="B81" i="3"/>
  <c r="B80" i="3"/>
  <c r="B79" i="3"/>
  <c r="B78" i="3"/>
  <c r="B77" i="3"/>
  <c r="B76" i="3"/>
  <c r="B75" i="3"/>
  <c r="B74" i="3"/>
  <c r="B73" i="3"/>
  <c r="B72" i="3"/>
  <c r="B71" i="3"/>
  <c r="B70" i="3"/>
  <c r="B93" i="3"/>
  <c r="B92" i="3"/>
  <c r="B67" i="3"/>
  <c r="B66" i="3"/>
  <c r="B65" i="3"/>
  <c r="B64" i="3"/>
  <c r="B91" i="3"/>
  <c r="B62" i="3"/>
  <c r="B88" i="3"/>
  <c r="B60" i="3"/>
  <c r="B59" i="3"/>
  <c r="B58" i="3"/>
  <c r="B57" i="3"/>
  <c r="B86" i="3"/>
  <c r="B55" i="3"/>
  <c r="B54" i="3"/>
  <c r="B82" i="3"/>
  <c r="B69" i="3"/>
  <c r="B51" i="3"/>
  <c r="B50" i="3"/>
  <c r="B49" i="3"/>
  <c r="B48" i="3"/>
  <c r="B47" i="3"/>
  <c r="B46" i="3"/>
  <c r="B68" i="3"/>
  <c r="B63" i="3"/>
  <c r="B43" i="3"/>
  <c r="B42" i="3"/>
  <c r="B61" i="3"/>
  <c r="B40" i="3"/>
  <c r="B39" i="3"/>
  <c r="B23" i="3"/>
  <c r="B37" i="3"/>
  <c r="B56" i="3"/>
  <c r="B35" i="3"/>
  <c r="B20" i="3"/>
  <c r="B33" i="3"/>
  <c r="B32" i="3"/>
  <c r="B53" i="3"/>
  <c r="B30" i="3"/>
  <c r="B29" i="3"/>
  <c r="B52" i="3"/>
  <c r="B27" i="3"/>
  <c r="B26" i="3"/>
  <c r="B19" i="3"/>
  <c r="B45" i="3"/>
  <c r="B44" i="3"/>
  <c r="B22" i="3"/>
  <c r="B21" i="3"/>
  <c r="B41" i="3"/>
  <c r="B16" i="3"/>
  <c r="B18" i="3"/>
  <c r="B17" i="3"/>
  <c r="B38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H23" i="1" l="1"/>
  <c r="I23" i="1"/>
  <c r="J23" i="1"/>
  <c r="K23" i="1"/>
  <c r="H24" i="1"/>
  <c r="I24" i="1"/>
  <c r="J24" i="1"/>
  <c r="K24" i="1"/>
  <c r="H25" i="1"/>
  <c r="I25" i="1"/>
  <c r="J25" i="1"/>
  <c r="K25" i="1"/>
  <c r="G23" i="1"/>
  <c r="G24" i="1"/>
  <c r="G25" i="1"/>
  <c r="N23" i="1"/>
  <c r="O23" i="1"/>
  <c r="P23" i="1"/>
  <c r="Q23" i="1"/>
  <c r="N24" i="1"/>
  <c r="O24" i="1"/>
  <c r="P24" i="1"/>
  <c r="Q24" i="1"/>
  <c r="N25" i="1"/>
  <c r="O25" i="1"/>
  <c r="P25" i="1"/>
  <c r="Q25" i="1"/>
  <c r="M23" i="1"/>
  <c r="M24" i="1"/>
  <c r="M25" i="1"/>
  <c r="E23" i="1"/>
  <c r="E24" i="1"/>
  <c r="E25" i="1"/>
  <c r="E6" i="1"/>
  <c r="B47" i="2"/>
  <c r="B48" i="2"/>
  <c r="B49" i="2"/>
  <c r="B50" i="2"/>
  <c r="B51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27" i="2"/>
  <c r="D7" i="1" l="1"/>
  <c r="E8" i="1"/>
  <c r="D8" i="1" s="1"/>
  <c r="L47" i="4" s="1"/>
  <c r="D22" i="1"/>
  <c r="O38" i="4" l="1"/>
  <c r="D21" i="1"/>
  <c r="P47" i="4"/>
  <c r="H29" i="4"/>
  <c r="H47" i="4"/>
  <c r="N29" i="4"/>
  <c r="D19" i="1"/>
  <c r="G29" i="4"/>
  <c r="E38" i="4"/>
  <c r="D17" i="1"/>
  <c r="M38" i="4"/>
  <c r="O29" i="4"/>
  <c r="D38" i="4"/>
  <c r="D20" i="1"/>
  <c r="D13" i="4"/>
  <c r="D15" i="4" s="1"/>
  <c r="D47" i="4"/>
  <c r="N47" i="4"/>
  <c r="F13" i="4"/>
  <c r="F15" i="4" s="1"/>
  <c r="E13" i="4"/>
  <c r="E15" i="4" s="1"/>
  <c r="F47" i="4"/>
  <c r="H13" i="4"/>
  <c r="H15" i="4" s="1"/>
  <c r="F29" i="4"/>
  <c r="H38" i="4"/>
  <c r="M47" i="4"/>
  <c r="E47" i="4"/>
  <c r="D18" i="1"/>
  <c r="L38" i="4"/>
  <c r="F38" i="4"/>
  <c r="E29" i="4"/>
  <c r="N38" i="4"/>
  <c r="O47" i="4"/>
  <c r="M29" i="4"/>
  <c r="P38" i="4"/>
  <c r="D29" i="4"/>
  <c r="L29" i="4"/>
  <c r="G47" i="4"/>
  <c r="P29" i="4"/>
  <c r="G38" i="4"/>
  <c r="C13" i="4" l="1"/>
  <c r="D26" i="1"/>
  <c r="E18" i="1" s="1"/>
  <c r="Q18" i="1" s="1"/>
  <c r="P30" i="4" s="1"/>
  <c r="P31" i="4" s="1"/>
  <c r="K18" i="1" l="1"/>
  <c r="P27" i="4" s="1"/>
  <c r="P28" i="4" s="1"/>
  <c r="E19" i="1"/>
  <c r="O19" i="1" s="1"/>
  <c r="F39" i="4" s="1"/>
  <c r="F40" i="4" s="1"/>
  <c r="G18" i="1"/>
  <c r="L27" i="4" s="1"/>
  <c r="L28" i="4" s="1"/>
  <c r="I18" i="1"/>
  <c r="N27" i="4" s="1"/>
  <c r="N28" i="4" s="1"/>
  <c r="O18" i="1"/>
  <c r="N30" i="4" s="1"/>
  <c r="N31" i="4" s="1"/>
  <c r="E22" i="1"/>
  <c r="P22" i="1" s="1"/>
  <c r="O48" i="4" s="1"/>
  <c r="O49" i="4" s="1"/>
  <c r="M18" i="1"/>
  <c r="L30" i="4" s="1"/>
  <c r="L31" i="4" s="1"/>
  <c r="E17" i="1"/>
  <c r="M17" i="1" s="1"/>
  <c r="D30" i="4" s="1"/>
  <c r="D31" i="4" s="1"/>
  <c r="P18" i="1"/>
  <c r="O30" i="4" s="1"/>
  <c r="O31" i="4" s="1"/>
  <c r="E20" i="1"/>
  <c r="Q20" i="1" s="1"/>
  <c r="H48" i="4" s="1"/>
  <c r="H49" i="4" s="1"/>
  <c r="E21" i="1"/>
  <c r="P21" i="1" s="1"/>
  <c r="O39" i="4" s="1"/>
  <c r="O40" i="4" s="1"/>
  <c r="N18" i="1"/>
  <c r="M30" i="4" s="1"/>
  <c r="M31" i="4" s="1"/>
  <c r="H18" i="1"/>
  <c r="M27" i="4" s="1"/>
  <c r="M28" i="4" s="1"/>
  <c r="J18" i="1"/>
  <c r="O27" i="4" s="1"/>
  <c r="O28" i="4" s="1"/>
  <c r="G17" i="1"/>
  <c r="G19" i="1"/>
  <c r="D36" i="4" s="1"/>
  <c r="D37" i="4" s="1"/>
  <c r="P20" i="1"/>
  <c r="G48" i="4" s="1"/>
  <c r="G49" i="4" s="1"/>
  <c r="O20" i="1" l="1"/>
  <c r="F48" i="4" s="1"/>
  <c r="F49" i="4" s="1"/>
  <c r="K29" i="4"/>
  <c r="N21" i="1"/>
  <c r="M39" i="4" s="1"/>
  <c r="M40" i="4" s="1"/>
  <c r="K20" i="1"/>
  <c r="H45" i="4" s="1"/>
  <c r="H46" i="4" s="1"/>
  <c r="H17" i="1"/>
  <c r="E27" i="4" s="1"/>
  <c r="E28" i="4" s="1"/>
  <c r="J17" i="1"/>
  <c r="G27" i="4" s="1"/>
  <c r="G28" i="4" s="1"/>
  <c r="N17" i="1"/>
  <c r="E30" i="4" s="1"/>
  <c r="E31" i="4" s="1"/>
  <c r="H19" i="1"/>
  <c r="E36" i="4" s="1"/>
  <c r="E37" i="4" s="1"/>
  <c r="P19" i="1"/>
  <c r="G39" i="4" s="1"/>
  <c r="G40" i="4" s="1"/>
  <c r="N19" i="1"/>
  <c r="E39" i="4" s="1"/>
  <c r="E40" i="4" s="1"/>
  <c r="P17" i="1"/>
  <c r="G30" i="4" s="1"/>
  <c r="G31" i="4" s="1"/>
  <c r="K19" i="1"/>
  <c r="H36" i="4" s="1"/>
  <c r="H37" i="4" s="1"/>
  <c r="Q19" i="1"/>
  <c r="H39" i="4" s="1"/>
  <c r="H40" i="4" s="1"/>
  <c r="J19" i="1"/>
  <c r="G36" i="4" s="1"/>
  <c r="G37" i="4" s="1"/>
  <c r="K17" i="1"/>
  <c r="Q17" i="1"/>
  <c r="H30" i="4" s="1"/>
  <c r="H31" i="4" s="1"/>
  <c r="K21" i="1"/>
  <c r="P36" i="4" s="1"/>
  <c r="P37" i="4" s="1"/>
  <c r="H22" i="1"/>
  <c r="M45" i="4" s="1"/>
  <c r="M46" i="4" s="1"/>
  <c r="M19" i="1"/>
  <c r="D39" i="4" s="1"/>
  <c r="D40" i="4" s="1"/>
  <c r="I17" i="1"/>
  <c r="F27" i="4" s="1"/>
  <c r="F28" i="4" s="1"/>
  <c r="O17" i="1"/>
  <c r="F30" i="4" s="1"/>
  <c r="F31" i="4" s="1"/>
  <c r="M21" i="1"/>
  <c r="L39" i="4" s="1"/>
  <c r="L40" i="4" s="1"/>
  <c r="G21" i="1"/>
  <c r="L36" i="4" s="1"/>
  <c r="L37" i="4" s="1"/>
  <c r="H20" i="1"/>
  <c r="E45" i="4" s="1"/>
  <c r="E46" i="4" s="1"/>
  <c r="I19" i="1"/>
  <c r="F36" i="4" s="1"/>
  <c r="F37" i="4" s="1"/>
  <c r="N22" i="1"/>
  <c r="M48" i="4" s="1"/>
  <c r="M49" i="4" s="1"/>
  <c r="Q21" i="1"/>
  <c r="P39" i="4" s="1"/>
  <c r="P40" i="4" s="1"/>
  <c r="I21" i="1"/>
  <c r="N36" i="4" s="1"/>
  <c r="N37" i="4" s="1"/>
  <c r="O21" i="1"/>
  <c r="N39" i="4" s="1"/>
  <c r="N40" i="4" s="1"/>
  <c r="H21" i="1"/>
  <c r="M36" i="4" s="1"/>
  <c r="M37" i="4" s="1"/>
  <c r="J22" i="1"/>
  <c r="O45" i="4" s="1"/>
  <c r="O46" i="4" s="1"/>
  <c r="I20" i="1"/>
  <c r="F45" i="4" s="1"/>
  <c r="F46" i="4" s="1"/>
  <c r="J21" i="1"/>
  <c r="O36" i="4" s="1"/>
  <c r="O37" i="4" s="1"/>
  <c r="Q22" i="1"/>
  <c r="P48" i="4" s="1"/>
  <c r="P49" i="4" s="1"/>
  <c r="I22" i="1"/>
  <c r="N45" i="4" s="1"/>
  <c r="N46" i="4" s="1"/>
  <c r="K26" i="4"/>
  <c r="G22" i="1"/>
  <c r="L45" i="4" s="1"/>
  <c r="L46" i="4" s="1"/>
  <c r="O22" i="1"/>
  <c r="N48" i="4" s="1"/>
  <c r="N49" i="4" s="1"/>
  <c r="M20" i="1"/>
  <c r="D48" i="4" s="1"/>
  <c r="D49" i="4" s="1"/>
  <c r="D8" i="6"/>
  <c r="M22" i="1"/>
  <c r="L48" i="4" s="1"/>
  <c r="L49" i="4" s="1"/>
  <c r="G20" i="1"/>
  <c r="D45" i="4" s="1"/>
  <c r="D46" i="4" s="1"/>
  <c r="N20" i="1"/>
  <c r="E48" i="4" s="1"/>
  <c r="E49" i="4" s="1"/>
  <c r="K22" i="1"/>
  <c r="P45" i="4" s="1"/>
  <c r="P46" i="4" s="1"/>
  <c r="J20" i="1"/>
  <c r="G45" i="4" s="1"/>
  <c r="G46" i="4" s="1"/>
  <c r="H27" i="4"/>
  <c r="H28" i="4" s="1"/>
  <c r="D27" i="4"/>
  <c r="D28" i="4" s="1"/>
  <c r="C38" i="4" l="1"/>
  <c r="K47" i="4"/>
  <c r="C29" i="4"/>
  <c r="C47" i="4"/>
  <c r="K38" i="4"/>
  <c r="D5" i="6"/>
  <c r="K26" i="1"/>
  <c r="H11" i="4" s="1"/>
  <c r="H12" i="4" s="1"/>
  <c r="C35" i="4"/>
  <c r="K35" i="4"/>
  <c r="I26" i="1"/>
  <c r="F11" i="4" s="1"/>
  <c r="F12" i="4" s="1"/>
  <c r="D7" i="6"/>
  <c r="D6" i="6"/>
  <c r="J26" i="1"/>
  <c r="G11" i="4" s="1"/>
  <c r="G12" i="4" s="1"/>
  <c r="H26" i="1"/>
  <c r="E11" i="4" s="1"/>
  <c r="E12" i="4" s="1"/>
  <c r="G26" i="1"/>
  <c r="D11" i="4" s="1"/>
  <c r="D12" i="4" s="1"/>
  <c r="K44" i="4"/>
  <c r="D4" i="6"/>
  <c r="C44" i="4"/>
  <c r="D3" i="6"/>
  <c r="C26" i="4"/>
  <c r="C10" i="4" l="1"/>
</calcChain>
</file>

<file path=xl/sharedStrings.xml><?xml version="1.0" encoding="utf-8"?>
<sst xmlns="http://schemas.openxmlformats.org/spreadsheetml/2006/main" count="445" uniqueCount="77">
  <si>
    <t>Month</t>
  </si>
  <si>
    <t>Total Trading Days</t>
  </si>
  <si>
    <t>Staff ID</t>
  </si>
  <si>
    <t>Name</t>
  </si>
  <si>
    <t>Hours Worked</t>
  </si>
  <si>
    <t>%</t>
  </si>
  <si>
    <t>Staffing</t>
  </si>
  <si>
    <t>Total</t>
  </si>
  <si>
    <t>Store Monthly Target</t>
  </si>
  <si>
    <t>Date</t>
  </si>
  <si>
    <t>Shift Length</t>
  </si>
  <si>
    <t>Janet Fuller</t>
  </si>
  <si>
    <t>Kaiden Smith</t>
  </si>
  <si>
    <t>Liara Thompson</t>
  </si>
  <si>
    <t>Jacob Newell</t>
  </si>
  <si>
    <t>Elliot Decker</t>
  </si>
  <si>
    <t>E4105</t>
  </si>
  <si>
    <t>E3642</t>
  </si>
  <si>
    <t>E5523</t>
  </si>
  <si>
    <t>E4177</t>
  </si>
  <si>
    <t>E5138</t>
  </si>
  <si>
    <t>E3897</t>
  </si>
  <si>
    <t>Nadia Williams</t>
  </si>
  <si>
    <t>First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</si>
  <si>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</si>
  <si>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</si>
  <si>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</si>
  <si>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</si>
  <si>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</si>
  <si>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</si>
  <si>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</si>
  <si>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</si>
  <si>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</si>
  <si>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</si>
  <si>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</si>
  <si>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</si>
  <si>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Projected Monthly Target</t>
  </si>
  <si>
    <t>MTD Target</t>
  </si>
  <si>
    <t xml:space="preserve">Staff ID </t>
  </si>
  <si>
    <t>Staff Name</t>
  </si>
  <si>
    <t>Product</t>
  </si>
  <si>
    <t>Notes</t>
  </si>
  <si>
    <t>Quantity</t>
  </si>
  <si>
    <t>Products</t>
  </si>
  <si>
    <t>Overall</t>
  </si>
  <si>
    <t>Actual</t>
  </si>
  <si>
    <t>Target</t>
  </si>
  <si>
    <t>% to Target</t>
  </si>
  <si>
    <t>EOM Target</t>
  </si>
  <si>
    <t>EOM Forecast</t>
  </si>
  <si>
    <t>Forecast % to Target</t>
  </si>
  <si>
    <t>ACME Sewing Supplies</t>
  </si>
  <si>
    <t>ACME JA1400 Home Sewing Machine</t>
  </si>
  <si>
    <t>ACME JC3900 Embroidery Machine</t>
  </si>
  <si>
    <t>ACME JD1700 Industrial Sewing Machine</t>
  </si>
  <si>
    <t>ACME JF4400 Overlocker</t>
  </si>
  <si>
    <t>Cost</t>
  </si>
  <si>
    <t>Price</t>
  </si>
  <si>
    <t>Home Sewing Machine</t>
  </si>
  <si>
    <t>Embroidery Machine</t>
  </si>
  <si>
    <t>Industrial Sewing Machine</t>
  </si>
  <si>
    <t>Overlocker</t>
  </si>
  <si>
    <t>ACME JS17 Compact Sewing Machine</t>
  </si>
  <si>
    <t>Compact Sewing Machine</t>
  </si>
  <si>
    <t>MTD Sales</t>
  </si>
  <si>
    <t>MTD Trading Days</t>
  </si>
  <si>
    <t>Sales Dashboard for ACME Sewing Supplies</t>
  </si>
  <si>
    <t>by Sara Twine</t>
  </si>
  <si>
    <t>This spreadsheet is a simple overview of sales data for a made-up sewing supplies company. It shows sales made by person and if they are on track to meet their sales quota for the month.</t>
  </si>
  <si>
    <t>The sales quota is based on their percentage of company hours worked, rather than a set per hour amount. I chose this method as I like it for divvying up sales targets, but I acknowledge there are several ways that are also suitable. I also wanted to include an example of forecasting, though this is a simplistic view as people may not work the same number of hours every week.</t>
  </si>
  <si>
    <t>The leader board is based on % to quota to make it inclusive of part-timers. People can see who is smashing their targets, rather than the full-timers leading the pack</t>
  </si>
  <si>
    <t>Ways that I might improve/further develop this spreadsheet:</t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</si>
  <si>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1"/>
        <color theme="1"/>
        <rFont val="Calibri"/>
        <family val="2"/>
        <scheme val="minor"/>
      </rPr>
      <t>Some people may like a numbers based graph, rather than percentage. I might suggest one for full-timers and one for part-timers in this case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</si>
  <si>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1"/>
        <color theme="1"/>
        <rFont val="Calibri"/>
        <family val="2"/>
        <scheme val="minor"/>
      </rPr>
      <t>Past transactions could be used to create another dashboard to show performance over the year/s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</si>
  <si>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1"/>
        <color theme="1"/>
        <rFont val="Calibri"/>
        <family val="2"/>
        <scheme val="minor"/>
      </rPr>
      <t>To keep it simple, I didn’t allow for discounts or alternative pricing. This could be included easily and a few extra fields added to also track who is giving the most discounts and by how much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</si>
  <si>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1"/>
        <color theme="1"/>
        <rFont val="Calibri"/>
        <family val="2"/>
        <scheme val="minor"/>
      </rPr>
      <t>An additional dashboard could be added for a simplified profit/loss dashboard if we included base costs and a rough overheads cost. That plus discount info and damages could give a rough idea of how the month is looking profit wise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</si>
  <si>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1"/>
        <color theme="1"/>
        <rFont val="Calibri"/>
        <family val="2"/>
        <scheme val="minor"/>
      </rPr>
      <t>If the schedule is known for the rest of the month, the forecast could be amended to use the number of hours the employee is expected to work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</si>
</sst>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0.0%"/>
    <numFmt numFmtId="166" formatCode="[$$-C09]#,##0.00"/>
    <numFmt numFmtId="167" formatCode="[$$-C09]#,##0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7"/>
      <color theme="1"/>
      <name val="Times New Roman"/>
      <family val="1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22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1" fillId="3" borderId="0" xfId="0" applyFont="1" applyFill="1"/>
    <xf numFmtId="14" fontId="0" fillId="0" borderId="0" xfId="0" applyNumberFormat="1"/>
    <xf numFmtId="0" fontId="1" fillId="3" borderId="9" xfId="0" applyFont="1" applyFill="1" applyBorder="1"/>
    <xf numFmtId="0" fontId="1" fillId="3" borderId="10" xfId="0" applyFont="1" applyFill="1" applyBorder="1"/>
    <xf numFmtId="0" fontId="0" fillId="2" borderId="2" xfId="0" applyFill="1" applyBorder="1" applyAlignment="1">
      <alignment horizontal="center"/>
    </xf>
    <xf numFmtId="165" fontId="0" fillId="2" borderId="3" xfId="1" applyNumberFormat="1" applyFont="1" applyFill="1" applyBorder="1" applyAlignment="1">
      <alignment horizontal="center"/>
    </xf>
    <xf numFmtId="0" fontId="0" fillId="2" borderId="7" xfId="0" applyFill="1" applyBorder="1"/>
    <xf numFmtId="0" fontId="0" fillId="2" borderId="0" xfId="0" applyFill="1" applyAlignment="1">
      <alignment horizontal="center"/>
    </xf>
    <xf numFmtId="165" fontId="0" fillId="2" borderId="8" xfId="1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5" fontId="0" fillId="2" borderId="6" xfId="1" applyNumberFormat="1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1" fillId="3" borderId="10" xfId="0" applyFont="1" applyFill="1" applyBorder="1" applyAlignment="1">
      <alignment horizontal="center" wrapText="1"/>
    </xf>
    <xf numFmtId="14" fontId="1" fillId="2" borderId="0" xfId="0" applyNumberFormat="1" applyFont="1" applyFill="1"/>
    <xf numFmtId="0" fontId="1" fillId="3" borderId="12" xfId="0" applyFont="1" applyFill="1" applyBorder="1" applyAlignment="1">
      <alignment horizontal="right"/>
    </xf>
    <xf numFmtId="0" fontId="1" fillId="3" borderId="13" xfId="0" applyFont="1" applyFill="1" applyBorder="1" applyAlignment="1">
      <alignment horizontal="right"/>
    </xf>
    <xf numFmtId="0" fontId="1" fillId="3" borderId="14" xfId="0" applyFont="1" applyFill="1" applyBorder="1" applyAlignment="1">
      <alignment horizontal="right"/>
    </xf>
    <xf numFmtId="0" fontId="0" fillId="4" borderId="3" xfId="0" applyFill="1" applyBorder="1" applyAlignment="1">
      <alignment horizontal="left"/>
    </xf>
    <xf numFmtId="0" fontId="0" fillId="4" borderId="8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5" borderId="7" xfId="0" applyFill="1" applyBorder="1"/>
    <xf numFmtId="0" fontId="0" fillId="5" borderId="0" xfId="0" applyFill="1"/>
    <xf numFmtId="0" fontId="0" fillId="5" borderId="0" xfId="0" applyFill="1" applyAlignment="1">
      <alignment horizontal="center"/>
    </xf>
    <xf numFmtId="165" fontId="0" fillId="5" borderId="8" xfId="1" applyNumberFormat="1" applyFont="1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4" fillId="0" borderId="0" xfId="0" applyFont="1"/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right"/>
    </xf>
    <xf numFmtId="0" fontId="1" fillId="3" borderId="7" xfId="0" applyFont="1" applyFill="1" applyBorder="1" applyAlignment="1">
      <alignment horizontal="right"/>
    </xf>
    <xf numFmtId="0" fontId="1" fillId="3" borderId="4" xfId="0" applyFont="1" applyFill="1" applyBorder="1" applyAlignment="1">
      <alignment horizontal="right"/>
    </xf>
    <xf numFmtId="165" fontId="0" fillId="0" borderId="0" xfId="1" applyNumberFormat="1" applyFont="1"/>
    <xf numFmtId="0" fontId="1" fillId="2" borderId="0" xfId="0" applyFont="1" applyFill="1" applyAlignment="1">
      <alignment horizontal="center"/>
    </xf>
    <xf numFmtId="14" fontId="1" fillId="0" borderId="0" xfId="0" applyNumberFormat="1" applyFont="1"/>
    <xf numFmtId="0" fontId="1" fillId="0" borderId="0" xfId="0" applyFont="1"/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4" fillId="4" borderId="9" xfId="0" applyFont="1" applyFill="1" applyBorder="1" applyAlignment="1"/>
    <xf numFmtId="0" fontId="4" fillId="4" borderId="10" xfId="0" applyFont="1" applyFill="1" applyBorder="1" applyAlignment="1"/>
    <xf numFmtId="0" fontId="4" fillId="4" borderId="11" xfId="0" applyFont="1" applyFill="1" applyBorder="1" applyAlignme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65" fontId="0" fillId="2" borderId="5" xfId="1" applyNumberFormat="1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 vertical="center"/>
    </xf>
    <xf numFmtId="165" fontId="0" fillId="2" borderId="12" xfId="1" applyNumberFormat="1" applyFont="1" applyFill="1" applyBorder="1" applyAlignment="1">
      <alignment horizontal="center" vertical="center"/>
    </xf>
    <xf numFmtId="165" fontId="0" fillId="2" borderId="13" xfId="1" applyNumberFormat="1" applyFont="1" applyFill="1" applyBorder="1" applyAlignment="1">
      <alignment horizontal="center" vertical="center"/>
    </xf>
    <xf numFmtId="165" fontId="0" fillId="2" borderId="14" xfId="1" applyNumberFormat="1" applyFont="1" applyFill="1" applyBorder="1" applyAlignment="1">
      <alignment horizontal="center" vertical="center"/>
    </xf>
    <xf numFmtId="0" fontId="6" fillId="3" borderId="0" xfId="0" applyFont="1" applyFill="1"/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7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  <xf numFmtId="0" fontId="8" fillId="0" borderId="8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6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top" wrapText="1"/>
    </xf>
    <xf numFmtId="0" fontId="0" fillId="0" borderId="2" xfId="0" applyFill="1" applyBorder="1" applyAlignment="1">
      <alignment horizontal="left" vertical="top" wrapText="1"/>
    </xf>
    <xf numFmtId="0" fontId="0" fillId="0" borderId="3" xfId="0" applyFill="1" applyBorder="1" applyAlignment="1">
      <alignment horizontal="left" vertical="top" wrapText="1"/>
    </xf>
    <xf numFmtId="0" fontId="0" fillId="0" borderId="4" xfId="0" applyFill="1" applyBorder="1" applyAlignment="1">
      <alignment horizontal="left" vertical="top" wrapText="1"/>
    </xf>
    <xf numFmtId="0" fontId="0" fillId="0" borderId="5" xfId="0" applyFill="1" applyBorder="1" applyAlignment="1">
      <alignment horizontal="left" vertical="top" wrapText="1"/>
    </xf>
    <xf numFmtId="0" fontId="0" fillId="0" borderId="6" xfId="0" applyFill="1" applyBorder="1" applyAlignment="1">
      <alignment horizontal="left" vertical="top" wrapText="1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7" fillId="0" borderId="0" xfId="0" applyFont="1" applyBorder="1"/>
    <xf numFmtId="0" fontId="10" fillId="0" borderId="0" xfId="0" applyFont="1" applyBorder="1" applyAlignment="1">
      <alignment horizontal="center" vertical="top" wrapText="1"/>
    </xf>
    <xf numFmtId="0" fontId="0" fillId="0" borderId="0" xfId="0" applyBorder="1" applyAlignment="1">
      <alignment vertical="top" wrapText="1"/>
    </xf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2">
    <cellStyle name="Normal" xfId="0" builtinId="0"/>
    <cellStyle name="Percent" xfId="1" builtinId="5"/>
  </cellStyles>
  <dxfs count="167">
    <dxf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167" formatCode="[$$-C09]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Leader Board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ChartTable!$D$2</c:f>
              <c:strCache>
                <c:ptCount val="1"/>
                <c:pt idx="0">
                  <c:v>Overall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ChartTable!$C$3:$C$8</c:f>
              <c:strCache>
                <c:ptCount val="6"/>
                <c:pt idx="0">
                  <c:v>Janet Fuller</c:v>
                </c:pt>
                <c:pt idx="1">
                  <c:v>Jacob Newell</c:v>
                </c:pt>
                <c:pt idx="2">
                  <c:v>Liara Thompson</c:v>
                </c:pt>
                <c:pt idx="3">
                  <c:v>Nadia Williams</c:v>
                </c:pt>
                <c:pt idx="4">
                  <c:v>Elliot Decker</c:v>
                </c:pt>
                <c:pt idx="5">
                  <c:v>Kaiden Smith</c:v>
                </c:pt>
              </c:strCache>
            </c:strRef>
          </c:cat>
          <c:val>
            <c:numRef>
              <c:f>ChartTable!$D$3:$D$8</c:f>
              <c:numCache>
                <c:formatCode>0.0%</c:formatCode>
                <c:ptCount val="6"/>
                <c:pt idx="0">
                  <c:v>1.56</c:v>
                </c:pt>
                <c:pt idx="1">
                  <c:v>1.1000000000000001</c:v>
                </c:pt>
                <c:pt idx="2">
                  <c:v>1.0566666666666666</c:v>
                </c:pt>
                <c:pt idx="3">
                  <c:v>0.97</c:v>
                </c:pt>
                <c:pt idx="4">
                  <c:v>0.92777777777777781</c:v>
                </c:pt>
                <c:pt idx="5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25-4338-848D-CCD0567CD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38826720"/>
        <c:axId val="1538946544"/>
      </c:barChart>
      <c:catAx>
        <c:axId val="15388267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946544"/>
        <c:crosses val="autoZero"/>
        <c:auto val="1"/>
        <c:lblAlgn val="ctr"/>
        <c:lblOffset val="100"/>
        <c:noMultiLvlLbl val="0"/>
      </c:catAx>
      <c:valAx>
        <c:axId val="153894654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82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266700</xdr:colOff>
      <xdr:row>6</xdr:row>
      <xdr:rowOff>85725</xdr:rowOff>
    </xdr:from>
    <xdr:to>
      <xdr:col>15</xdr:col>
      <xdr:colOff>571500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4</xdr:row>
          <xdr:rowOff>104775</xdr:rowOff>
        </xdr:from>
        <xdr:to>
          <xdr:col>15</xdr:col>
          <xdr:colOff>758825</xdr:colOff>
          <xdr:row>6</xdr:row>
          <xdr:rowOff>95250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161925</xdr:colOff>
      <xdr:row>16</xdr:row>
      <xdr:rowOff>57150</xdr:rowOff>
    </xdr:from>
    <xdr:to>
      <xdr:col>5</xdr:col>
      <xdr:colOff>692149</xdr:colOff>
      <xdr:row>21</xdr:row>
      <xdr:rowOff>88106</xdr:rowOff>
    </xdr:to>
    <xdr:pic>
      <xdr:nvPicPr>
        <xdr:cNvPr id="3" name="Picture 2" descr="Sewing clipart kid 3">
          <a:extLst>
            <a:ext uri="{FF2B5EF4-FFF2-40B4-BE49-F238E27FC236}">
              <a16:creationId xmlns:a16="http://schemas.microsoft.com/office/drawing/2014/main" id="{29977DA7-C771-4EB1-ACB6-407CFC0F4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" y="3486150"/>
          <a:ext cx="1311274" cy="9834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749301</xdr:colOff>
      <xdr:row>5</xdr:row>
      <xdr:rowOff>16667</xdr:rowOff>
    </xdr:from>
    <xdr:to>
      <xdr:col>15</xdr:col>
      <xdr:colOff>695325</xdr:colOff>
      <xdr:row>12</xdr:row>
      <xdr:rowOff>95248</xdr:rowOff>
    </xdr:to>
    <xdr:pic>
      <xdr:nvPicPr>
        <xdr:cNvPr id="2" name="Picture 1" descr="Sewing clipart kid 3">
          <a:extLst>
            <a:ext uri="{FF2B5EF4-FFF2-40B4-BE49-F238E27FC236}">
              <a16:creationId xmlns:a16="http://schemas.microsoft.com/office/drawing/2014/main" id="{59D9CFE4-20C5-3A95-7548-2935D888FC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65051" y="969167"/>
          <a:ext cx="2136774" cy="16025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D02247-527A-4602-B2F1-A531FDA160CE}" name="Transactions" displayName="Transactions" ref="A1:G105" totalsRowShown="0" headerRowDxfId="166" dataDxfId="165">
  <autoFilter ref="A1:G105" xr:uid="{2DBD8CE2-D514-40D1-B264-49B570E7F3AE}"/>
  <tableColumns count="7">
    <tableColumn id="1" xr3:uid="{758A0D1E-BE1C-452C-9121-D2B283D3911F}" name="Date" dataDxfId="164"/>
    <tableColumn id="2" xr3:uid="{EC21F487-B6C9-452E-9113-370D7FF15E39}" name="Staff ID " dataDxfId="163">
      <calculatedColumnFormula>IF(C2="","",VLOOKUP(C2,Background!$C$2:$D$7,2,FALSE))</calculatedColumnFormula>
    </tableColumn>
    <tableColumn id="3" xr3:uid="{17494AAF-84E3-4FA0-B0F2-1EBBE85F272C}" name="Staff Name" dataDxfId="162"/>
    <tableColumn id="4" xr3:uid="{19001765-E655-4297-AD10-A4A61BF1F2F0}" name="Product" dataDxfId="160"/>
    <tableColumn id="5" xr3:uid="{5248B7CF-37FC-4429-953E-C3C6F7650673}" name="Quantity" dataDxfId="161"/>
    <tableColumn id="6" xr3:uid="{FCCE1C2F-1F1B-407A-BCC0-ACB6619ADD52}" name="Notes" dataDxfId="159"/>
    <tableColumn id="7" xr3:uid="{993F5E0E-73E9-4423-95C8-3F702C32D0A0}" name="Price" dataDxfId="158">
      <calculatedColumnFormula>IF(Transactions[[#This Row],[Quantity]]="","",Transactions[[#This Row],[Quantity]]*VLOOKUP(Transactions[[#This Row],[Product]],Background!$I$2:$J$6,2,FALSE))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F92828-7CB9-485E-B6BA-A2841385CC89}" name="Table2" displayName="Table2" ref="B1:E215" totalsRowShown="0">
  <tableColumns count="4">
    <tableColumn id="1" xr3:uid="{B28A03FF-994F-404B-84D4-78E58EFDF56E}" name="Date"/>
    <tableColumn id="2" xr3:uid="{205C1386-E494-49D7-9C10-41E2F34973A4}" name="Staff ID" dataDxfId="157">
      <calculatedColumnFormula>IF(Table2[[#This Row],[Name]]="","",VLOOKUP(Table2[[#This Row],[Name]],Background!$C:$D,2,FALSE))</calculatedColumnFormula>
    </tableColumn>
    <tableColumn id="3" xr3:uid="{7DA8B107-A711-4871-A491-58926C8D5465}" name="Name"/>
    <tableColumn id="4" xr3:uid="{598AA0B5-E0D1-43AD-BEEA-C524E54E5CCC}" name="Shift Length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F3F5-76E0-4C27-A45C-288178114046}">
  <sheetPr codeName="Sheet7"/>
  <dimension ref="A1:L30"/>
  <sheetViews>
    <sheetView showGridLines="0" tabSelected="1" workbookViewId="0">
      <selection activeCell="P12" sqref="P12"/>
    </sheetView>
  </sheetViews>
  <sheetFormatPr defaultRowHeight="15" x14ac:dyDescent="0.25"/>
  <sheetData>
    <row r="1" spans="1:12" x14ac:dyDescent="0.25">
      <c r="A1" s="98"/>
      <c r="B1" s="99"/>
      <c r="C1" s="99"/>
      <c r="D1" s="99"/>
      <c r="E1" s="99"/>
      <c r="F1" s="99"/>
      <c r="G1" s="99"/>
      <c r="H1" s="99"/>
      <c r="I1" s="99"/>
      <c r="J1" s="99"/>
      <c r="K1" s="99"/>
      <c r="L1" s="100"/>
    </row>
    <row r="2" spans="1:12" x14ac:dyDescent="0.25">
      <c r="A2" s="114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5"/>
    </row>
    <row r="3" spans="1:12" ht="18.75" x14ac:dyDescent="0.3">
      <c r="A3" s="114"/>
      <c r="B3" s="113"/>
      <c r="C3" s="113"/>
      <c r="D3" s="116" t="s">
        <v>66</v>
      </c>
      <c r="E3" s="113"/>
      <c r="F3" s="113"/>
      <c r="G3" s="113"/>
      <c r="H3" s="113"/>
      <c r="I3" s="113"/>
      <c r="J3" s="113"/>
      <c r="K3" s="113"/>
      <c r="L3" s="115"/>
    </row>
    <row r="4" spans="1:12" x14ac:dyDescent="0.25">
      <c r="A4" s="114"/>
      <c r="B4" s="113"/>
      <c r="C4" s="113"/>
      <c r="D4" s="113"/>
      <c r="E4" s="113"/>
      <c r="F4" s="113" t="s">
        <v>67</v>
      </c>
      <c r="G4" s="113"/>
      <c r="H4" s="113"/>
      <c r="I4" s="113"/>
      <c r="J4" s="113"/>
      <c r="K4" s="113"/>
      <c r="L4" s="115"/>
    </row>
    <row r="5" spans="1:12" x14ac:dyDescent="0.25">
      <c r="A5" s="114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5"/>
    </row>
    <row r="6" spans="1:12" x14ac:dyDescent="0.25">
      <c r="A6" s="114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5"/>
    </row>
    <row r="7" spans="1:12" ht="15" customHeight="1" x14ac:dyDescent="0.25">
      <c r="A7" s="114"/>
      <c r="B7" s="113"/>
      <c r="C7" s="117" t="s">
        <v>68</v>
      </c>
      <c r="D7" s="117"/>
      <c r="E7" s="117"/>
      <c r="F7" s="117"/>
      <c r="G7" s="117"/>
      <c r="H7" s="117"/>
      <c r="I7" s="117"/>
      <c r="J7" s="117"/>
      <c r="K7" s="113"/>
      <c r="L7" s="115"/>
    </row>
    <row r="8" spans="1:12" x14ac:dyDescent="0.25">
      <c r="A8" s="114"/>
      <c r="B8" s="118"/>
      <c r="C8" s="117"/>
      <c r="D8" s="117"/>
      <c r="E8" s="117"/>
      <c r="F8" s="117"/>
      <c r="G8" s="117"/>
      <c r="H8" s="117"/>
      <c r="I8" s="117"/>
      <c r="J8" s="117"/>
      <c r="K8" s="113"/>
      <c r="L8" s="115"/>
    </row>
    <row r="9" spans="1:12" x14ac:dyDescent="0.25">
      <c r="A9" s="114"/>
      <c r="B9" s="118"/>
      <c r="C9" s="117"/>
      <c r="D9" s="117"/>
      <c r="E9" s="117"/>
      <c r="F9" s="117"/>
      <c r="G9" s="117"/>
      <c r="H9" s="117"/>
      <c r="I9" s="117"/>
      <c r="J9" s="117"/>
      <c r="K9" s="113"/>
      <c r="L9" s="115"/>
    </row>
    <row r="10" spans="1:12" x14ac:dyDescent="0.25">
      <c r="A10" s="114"/>
      <c r="B10" s="118"/>
      <c r="C10" s="118"/>
      <c r="D10" s="118"/>
      <c r="E10" s="118"/>
      <c r="F10" s="118"/>
      <c r="G10" s="118"/>
      <c r="H10" s="113"/>
      <c r="I10" s="113"/>
      <c r="J10" s="113"/>
      <c r="K10" s="113"/>
      <c r="L10" s="115"/>
    </row>
    <row r="11" spans="1:12" x14ac:dyDescent="0.25">
      <c r="A11" s="114"/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5"/>
    </row>
    <row r="12" spans="1:12" ht="15" customHeight="1" x14ac:dyDescent="0.25">
      <c r="A12" s="114"/>
      <c r="B12" s="89" t="s">
        <v>69</v>
      </c>
      <c r="C12" s="90"/>
      <c r="D12" s="90"/>
      <c r="E12" s="90"/>
      <c r="F12" s="90"/>
      <c r="G12" s="90"/>
      <c r="H12" s="90"/>
      <c r="I12" s="90"/>
      <c r="J12" s="90"/>
      <c r="K12" s="91"/>
      <c r="L12" s="115"/>
    </row>
    <row r="13" spans="1:12" x14ac:dyDescent="0.25">
      <c r="A13" s="114"/>
      <c r="B13" s="92"/>
      <c r="C13" s="93"/>
      <c r="D13" s="93"/>
      <c r="E13" s="93"/>
      <c r="F13" s="93"/>
      <c r="G13" s="93"/>
      <c r="H13" s="93"/>
      <c r="I13" s="93"/>
      <c r="J13" s="93"/>
      <c r="K13" s="94"/>
      <c r="L13" s="115"/>
    </row>
    <row r="14" spans="1:12" x14ac:dyDescent="0.25">
      <c r="A14" s="114"/>
      <c r="B14" s="92"/>
      <c r="C14" s="93"/>
      <c r="D14" s="93"/>
      <c r="E14" s="93"/>
      <c r="F14" s="93"/>
      <c r="G14" s="93"/>
      <c r="H14" s="93"/>
      <c r="I14" s="93"/>
      <c r="J14" s="93"/>
      <c r="K14" s="94"/>
      <c r="L14" s="115"/>
    </row>
    <row r="15" spans="1:12" x14ac:dyDescent="0.25">
      <c r="A15" s="114"/>
      <c r="B15" s="95"/>
      <c r="C15" s="96"/>
      <c r="D15" s="96"/>
      <c r="E15" s="96"/>
      <c r="F15" s="96"/>
      <c r="G15" s="96"/>
      <c r="H15" s="96"/>
      <c r="I15" s="96"/>
      <c r="J15" s="96"/>
      <c r="K15" s="97"/>
      <c r="L15" s="115"/>
    </row>
    <row r="16" spans="1:12" x14ac:dyDescent="0.25">
      <c r="A16" s="114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5"/>
    </row>
    <row r="17" spans="1:12" x14ac:dyDescent="0.25">
      <c r="A17" s="114"/>
      <c r="B17" s="107" t="s">
        <v>70</v>
      </c>
      <c r="C17" s="108"/>
      <c r="D17" s="108"/>
      <c r="E17" s="108"/>
      <c r="F17" s="108"/>
      <c r="G17" s="108"/>
      <c r="H17" s="108"/>
      <c r="I17" s="108"/>
      <c r="J17" s="108"/>
      <c r="K17" s="109"/>
      <c r="L17" s="115"/>
    </row>
    <row r="18" spans="1:12" x14ac:dyDescent="0.25">
      <c r="A18" s="114"/>
      <c r="B18" s="110"/>
      <c r="C18" s="111"/>
      <c r="D18" s="111"/>
      <c r="E18" s="111"/>
      <c r="F18" s="111"/>
      <c r="G18" s="111"/>
      <c r="H18" s="111"/>
      <c r="I18" s="111"/>
      <c r="J18" s="111"/>
      <c r="K18" s="112"/>
      <c r="L18" s="115"/>
    </row>
    <row r="19" spans="1:12" x14ac:dyDescent="0.25">
      <c r="A19" s="114"/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5"/>
    </row>
    <row r="20" spans="1:12" x14ac:dyDescent="0.25">
      <c r="A20" s="114"/>
      <c r="B20" s="98" t="s">
        <v>71</v>
      </c>
      <c r="C20" s="99"/>
      <c r="D20" s="99"/>
      <c r="E20" s="99"/>
      <c r="F20" s="99"/>
      <c r="G20" s="99"/>
      <c r="H20" s="99"/>
      <c r="I20" s="99"/>
      <c r="J20" s="99"/>
      <c r="K20" s="100"/>
      <c r="L20" s="115"/>
    </row>
    <row r="21" spans="1:12" ht="30.75" customHeight="1" x14ac:dyDescent="0.25">
      <c r="A21" s="114"/>
      <c r="B21" s="101" t="s">
        <v>72</v>
      </c>
      <c r="C21" s="102"/>
      <c r="D21" s="102"/>
      <c r="E21" s="102"/>
      <c r="F21" s="102"/>
      <c r="G21" s="102"/>
      <c r="H21" s="102"/>
      <c r="I21" s="102"/>
      <c r="J21" s="102"/>
      <c r="K21" s="103"/>
      <c r="L21" s="115"/>
    </row>
    <row r="22" spans="1:12" x14ac:dyDescent="0.25">
      <c r="A22" s="114"/>
      <c r="B22" s="101" t="s">
        <v>73</v>
      </c>
      <c r="C22" s="102"/>
      <c r="D22" s="102"/>
      <c r="E22" s="102"/>
      <c r="F22" s="102"/>
      <c r="G22" s="102"/>
      <c r="H22" s="102"/>
      <c r="I22" s="102"/>
      <c r="J22" s="102"/>
      <c r="K22" s="103"/>
      <c r="L22" s="115"/>
    </row>
    <row r="23" spans="1:12" ht="30" customHeight="1" x14ac:dyDescent="0.25">
      <c r="A23" s="114"/>
      <c r="B23" s="101" t="s">
        <v>74</v>
      </c>
      <c r="C23" s="102"/>
      <c r="D23" s="102"/>
      <c r="E23" s="102"/>
      <c r="F23" s="102"/>
      <c r="G23" s="102"/>
      <c r="H23" s="102"/>
      <c r="I23" s="102"/>
      <c r="J23" s="102"/>
      <c r="K23" s="103"/>
      <c r="L23" s="115"/>
    </row>
    <row r="24" spans="1:12" ht="45" customHeight="1" x14ac:dyDescent="0.25">
      <c r="A24" s="114"/>
      <c r="B24" s="101" t="s">
        <v>75</v>
      </c>
      <c r="C24" s="102"/>
      <c r="D24" s="102"/>
      <c r="E24" s="102"/>
      <c r="F24" s="102"/>
      <c r="G24" s="102"/>
      <c r="H24" s="102"/>
      <c r="I24" s="102"/>
      <c r="J24" s="102"/>
      <c r="K24" s="103"/>
      <c r="L24" s="115"/>
    </row>
    <row r="25" spans="1:12" x14ac:dyDescent="0.25">
      <c r="A25" s="114"/>
      <c r="B25" s="101" t="s">
        <v>76</v>
      </c>
      <c r="C25" s="102"/>
      <c r="D25" s="102"/>
      <c r="E25" s="102"/>
      <c r="F25" s="102"/>
      <c r="G25" s="102"/>
      <c r="H25" s="102"/>
      <c r="I25" s="102"/>
      <c r="J25" s="102"/>
      <c r="K25" s="103"/>
      <c r="L25" s="115"/>
    </row>
    <row r="26" spans="1:12" x14ac:dyDescent="0.25">
      <c r="A26" s="114"/>
      <c r="B26" s="104"/>
      <c r="C26" s="105"/>
      <c r="D26" s="105"/>
      <c r="E26" s="105"/>
      <c r="F26" s="105"/>
      <c r="G26" s="105"/>
      <c r="H26" s="105"/>
      <c r="I26" s="105"/>
      <c r="J26" s="105"/>
      <c r="K26" s="106"/>
      <c r="L26" s="115"/>
    </row>
    <row r="27" spans="1:12" x14ac:dyDescent="0.25">
      <c r="A27" s="114"/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5"/>
    </row>
    <row r="28" spans="1:12" x14ac:dyDescent="0.25">
      <c r="A28" s="114"/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5"/>
    </row>
    <row r="29" spans="1:12" x14ac:dyDescent="0.25">
      <c r="A29" s="114"/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5"/>
    </row>
    <row r="30" spans="1:12" x14ac:dyDescent="0.25">
      <c r="A30" s="119"/>
      <c r="B30" s="120"/>
      <c r="C30" s="120"/>
      <c r="D30" s="120"/>
      <c r="E30" s="120"/>
      <c r="F30" s="120"/>
      <c r="G30" s="120"/>
      <c r="H30" s="120"/>
      <c r="I30" s="120"/>
      <c r="J30" s="120"/>
      <c r="K30" s="120"/>
      <c r="L30" s="121"/>
    </row>
  </sheetData>
  <mergeCells count="8">
    <mergeCell ref="B21:K21"/>
    <mergeCell ref="B22:K22"/>
    <mergeCell ref="B23:K23"/>
    <mergeCell ref="B24:K24"/>
    <mergeCell ref="B12:K15"/>
    <mergeCell ref="B25:K26"/>
    <mergeCell ref="C7:J9"/>
    <mergeCell ref="B17:K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A8E1-C6D4-4A1C-9901-47F4ABB3B158}">
  <sheetPr codeName="Sheet1"/>
  <dimension ref="B2:Q49"/>
  <sheetViews>
    <sheetView zoomScaleNormal="100" workbookViewId="0">
      <selection activeCell="R9" sqref="R9"/>
    </sheetView>
  </sheetViews>
  <sheetFormatPr defaultRowHeight="15" x14ac:dyDescent="0.25"/>
  <cols>
    <col min="1" max="1" width="5.5703125" style="1" customWidth="1"/>
    <col min="2" max="2" width="19" style="1" bestFit="1" customWidth="1"/>
    <col min="3" max="3" width="9.140625" style="1"/>
    <col min="4" max="8" width="11.7109375" style="1" customWidth="1"/>
    <col min="9" max="9" width="9.140625" style="1"/>
    <col min="10" max="10" width="19" style="1" bestFit="1" customWidth="1"/>
    <col min="11" max="16" width="11.7109375" style="1" customWidth="1"/>
    <col min="17" max="16384" width="9.140625" style="1"/>
  </cols>
  <sheetData>
    <row r="2" spans="2:17" x14ac:dyDescent="0.25">
      <c r="B2" s="62" t="s">
        <v>51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4"/>
    </row>
    <row r="3" spans="2:17" x14ac:dyDescent="0.25">
      <c r="B3" s="65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7"/>
    </row>
    <row r="4" spans="2:17" x14ac:dyDescent="0.25">
      <c r="B4" s="68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70"/>
    </row>
    <row r="8" spans="2:17" x14ac:dyDescent="0.25">
      <c r="C8" s="56" t="s">
        <v>44</v>
      </c>
      <c r="D8" s="57"/>
      <c r="E8" s="57"/>
      <c r="F8" s="57"/>
      <c r="G8" s="57"/>
      <c r="H8" s="58"/>
    </row>
    <row r="9" spans="2:17" ht="45" x14ac:dyDescent="0.25">
      <c r="B9" s="13"/>
      <c r="C9" s="84" t="s">
        <v>44</v>
      </c>
      <c r="D9" s="79" t="s">
        <v>58</v>
      </c>
      <c r="E9" s="79" t="s">
        <v>59</v>
      </c>
      <c r="F9" s="79" t="s">
        <v>60</v>
      </c>
      <c r="G9" s="79" t="s">
        <v>61</v>
      </c>
      <c r="H9" s="80" t="s">
        <v>63</v>
      </c>
    </row>
    <row r="10" spans="2:17" x14ac:dyDescent="0.25">
      <c r="B10" s="44" t="s">
        <v>64</v>
      </c>
      <c r="C10" s="85">
        <f>SUM(D12:H12)/5</f>
        <v>1.069841137123746</v>
      </c>
      <c r="D10" s="10">
        <f>SUMIFS(Transactions[Quantity],Transactions[Product],"ACME JA1400 Home Sewing Machine")</f>
        <v>43</v>
      </c>
      <c r="E10" s="10">
        <f>SUMIFS(Transactions[Quantity],Transactions[Product],"ACME JC3900 Embroidery Machine")</f>
        <v>22</v>
      </c>
      <c r="F10" s="10">
        <f>SUMIFS(Transactions[Quantity],Transactions[Product],"ACME JD1700 Industrial Sewing Machine")</f>
        <v>42</v>
      </c>
      <c r="G10" s="10">
        <f>SUMIFS(Transactions[Quantity],Transactions[Product],"ACME JF4400 Overlocker")</f>
        <v>18</v>
      </c>
      <c r="H10" s="81">
        <f>SUMIFS(Transactions[Quantity],Transactions[Product],"ACME JS17 Compact Sewing Machine")</f>
        <v>17</v>
      </c>
    </row>
    <row r="11" spans="2:17" x14ac:dyDescent="0.25">
      <c r="B11" s="45" t="s">
        <v>37</v>
      </c>
      <c r="C11" s="86"/>
      <c r="D11" s="82">
        <f>Targets!G26</f>
        <v>46</v>
      </c>
      <c r="E11" s="82">
        <f>Targets!H26</f>
        <v>16</v>
      </c>
      <c r="F11" s="82">
        <f>Targets!I26</f>
        <v>39</v>
      </c>
      <c r="G11" s="82">
        <f>Targets!J26</f>
        <v>20</v>
      </c>
      <c r="H11" s="20">
        <f>Targets!K26</f>
        <v>16</v>
      </c>
    </row>
    <row r="12" spans="2:17" x14ac:dyDescent="0.25">
      <c r="B12" s="45" t="s">
        <v>47</v>
      </c>
      <c r="C12" s="87"/>
      <c r="D12" s="83">
        <f>IFERROR(D10/D11,0)</f>
        <v>0.93478260869565222</v>
      </c>
      <c r="E12" s="83">
        <f t="shared" ref="E12:H12" si="0">IFERROR(E10/E11,0)</f>
        <v>1.375</v>
      </c>
      <c r="F12" s="83">
        <f t="shared" si="0"/>
        <v>1.0769230769230769</v>
      </c>
      <c r="G12" s="83">
        <f t="shared" si="0"/>
        <v>0.9</v>
      </c>
      <c r="H12" s="16">
        <f t="shared" si="0"/>
        <v>1.0625</v>
      </c>
    </row>
    <row r="13" spans="2:17" x14ac:dyDescent="0.25">
      <c r="B13" s="45" t="s">
        <v>49</v>
      </c>
      <c r="C13" s="85">
        <f>SUM(D15:H15)/5</f>
        <v>1.2380952380952379</v>
      </c>
      <c r="D13" s="13">
        <f>ROUNDUP((D10/Targets!$D$7)*Targets!$D$8,0)</f>
        <v>118</v>
      </c>
      <c r="E13" s="13">
        <f>ROUNDUP((E10/Targets!$D$7)*Targets!$D$8,0)</f>
        <v>60</v>
      </c>
      <c r="F13" s="13">
        <f>ROUNDUP((F10/Targets!$D$7)*Targets!$D$8,0)</f>
        <v>115</v>
      </c>
      <c r="G13" s="13">
        <f>ROUNDUP((G10/Targets!$D$7)*Targets!$D$8,0)</f>
        <v>50</v>
      </c>
      <c r="H13" s="20">
        <f>ROUNDUP((H10/Targets!$D$7)*Targets!$D$8,0)</f>
        <v>47</v>
      </c>
    </row>
    <row r="14" spans="2:17" x14ac:dyDescent="0.25">
      <c r="B14" s="45" t="s">
        <v>48</v>
      </c>
      <c r="C14" s="86"/>
      <c r="D14" s="13">
        <f>Targets!G12</f>
        <v>120</v>
      </c>
      <c r="E14" s="13">
        <f>Targets!H12</f>
        <v>35</v>
      </c>
      <c r="F14" s="13">
        <f>Targets!I12</f>
        <v>100</v>
      </c>
      <c r="G14" s="13">
        <f>Targets!J12</f>
        <v>50</v>
      </c>
      <c r="H14" s="20">
        <f>Targets!K12</f>
        <v>35</v>
      </c>
    </row>
    <row r="15" spans="2:17" x14ac:dyDescent="0.25">
      <c r="B15" s="46" t="s">
        <v>50</v>
      </c>
      <c r="C15" s="87"/>
      <c r="D15" s="83">
        <f t="shared" ref="D15:H15" si="1">IFERROR(D13/D14,0)</f>
        <v>0.98333333333333328</v>
      </c>
      <c r="E15" s="83">
        <f t="shared" si="1"/>
        <v>1.7142857142857142</v>
      </c>
      <c r="F15" s="83">
        <f t="shared" si="1"/>
        <v>1.1499999999999999</v>
      </c>
      <c r="G15" s="83">
        <f t="shared" ref="G15" si="2">IFERROR(G13/G14,0)</f>
        <v>1</v>
      </c>
      <c r="H15" s="16">
        <f t="shared" si="1"/>
        <v>1.3428571428571427</v>
      </c>
    </row>
    <row r="24" spans="2:16" x14ac:dyDescent="0.25">
      <c r="C24" s="56" t="str">
        <f>IF(Targets!C17="","",Targets!C17)</f>
        <v>Janet Fuller</v>
      </c>
      <c r="D24" s="57"/>
      <c r="E24" s="57"/>
      <c r="F24" s="57"/>
      <c r="G24" s="57"/>
      <c r="H24" s="58"/>
      <c r="K24" s="56" t="str">
        <f>IF(Targets!C18="","",Targets!C18)</f>
        <v>Kaiden Smith</v>
      </c>
      <c r="L24" s="57"/>
      <c r="M24" s="57"/>
      <c r="N24" s="57"/>
      <c r="O24" s="57"/>
      <c r="P24" s="58"/>
    </row>
    <row r="25" spans="2:16" ht="45" x14ac:dyDescent="0.25">
      <c r="B25" s="48" t="str">
        <f>IF(Targets!B17="","",Targets!B17)</f>
        <v>E4105</v>
      </c>
      <c r="C25" s="84" t="s">
        <v>44</v>
      </c>
      <c r="D25" s="79" t="s">
        <v>58</v>
      </c>
      <c r="E25" s="79" t="s">
        <v>59</v>
      </c>
      <c r="F25" s="79" t="s">
        <v>60</v>
      </c>
      <c r="G25" s="79" t="s">
        <v>61</v>
      </c>
      <c r="H25" s="80" t="s">
        <v>63</v>
      </c>
      <c r="J25" s="48" t="str">
        <f>IF(Targets!B18="","",Targets!B18)</f>
        <v>E3642</v>
      </c>
      <c r="K25" s="84" t="s">
        <v>44</v>
      </c>
      <c r="L25" s="79" t="s">
        <v>58</v>
      </c>
      <c r="M25" s="79" t="s">
        <v>59</v>
      </c>
      <c r="N25" s="79" t="s">
        <v>60</v>
      </c>
      <c r="O25" s="79" t="s">
        <v>61</v>
      </c>
      <c r="P25" s="80" t="s">
        <v>63</v>
      </c>
    </row>
    <row r="26" spans="2:16" x14ac:dyDescent="0.25">
      <c r="B26" s="28" t="s">
        <v>45</v>
      </c>
      <c r="C26" s="85">
        <f>SUM(D28:H28)/5</f>
        <v>1.56</v>
      </c>
      <c r="D26" s="10">
        <f>SUMIFS(Transactions[Quantity],Transactions[Product],"ACME JA1400 Home Sewing Machine",Transactions[Staff Name],"Janet Fuller")</f>
        <v>7</v>
      </c>
      <c r="E26" s="10">
        <f>SUMIFS(Transactions[Quantity],Transactions[Product],"ACME JC3900 Embroidery Machine",Transactions[Staff Name],"Janet Fuller")</f>
        <v>6</v>
      </c>
      <c r="F26" s="10">
        <f>SUMIFS(Transactions[Quantity],Transactions[Product],"ACME JD1700 Industrial Sewing Machine",Transactions[Staff Name],"Janet Fuller")</f>
        <v>4</v>
      </c>
      <c r="G26" s="10">
        <f>SUMIFS(Transactions[Quantity],Transactions[Product],"ACME JF4400 Overlocker",Transactions[Staff Name],"Janet Fuller")</f>
        <v>4</v>
      </c>
      <c r="H26" s="81">
        <f>SUMIFS(Transactions[Quantity],Transactions[Product],"ACME JS17 Compact Sewing Machine",Transactions[Staff Name],"Janet Fuller")</f>
        <v>3</v>
      </c>
      <c r="J26" s="44" t="s">
        <v>45</v>
      </c>
      <c r="K26" s="85">
        <f>SUM(L28:P28)/5</f>
        <v>0.9</v>
      </c>
      <c r="L26" s="10">
        <f>SUMIFS(Transactions[Quantity],Transactions[Product],"ACME JA1400 Home Sewing Machine",Transactions[Staff Name],"Kaiden Smith")</f>
        <v>1</v>
      </c>
      <c r="M26" s="10">
        <f>SUMIFS(Transactions[Quantity],Transactions[Product],"ACME JC3900 Embroidery Machine",Transactions[Staff Name],"Kaiden Smith")</f>
        <v>1</v>
      </c>
      <c r="N26" s="10">
        <f>SUMIFS(Transactions[Quantity],Transactions[Product],"ACME JD1700 Industrial Sewing Machine",Transactions[Staff Name],"Kaiden Smith")</f>
        <v>2</v>
      </c>
      <c r="O26" s="10">
        <f>SUMIFS(Transactions[Quantity],Transactions[Product],"ACME JF4400 Overlocker",Transactions[Staff Name],"Kaiden Smith")</f>
        <v>1</v>
      </c>
      <c r="P26" s="81">
        <f>SUMIFS(Transactions[Quantity],Transactions[Product],"ACME JS17 Compact Sewing Machine",Transactions[Staff Name],"Kaiden Smith")</f>
        <v>1</v>
      </c>
    </row>
    <row r="27" spans="2:16" x14ac:dyDescent="0.25">
      <c r="B27" s="29" t="s">
        <v>46</v>
      </c>
      <c r="C27" s="86"/>
      <c r="D27" s="82">
        <f>Targets!G17</f>
        <v>6</v>
      </c>
      <c r="E27" s="82">
        <f>Targets!H17</f>
        <v>2</v>
      </c>
      <c r="F27" s="82">
        <f>Targets!I17</f>
        <v>5</v>
      </c>
      <c r="G27" s="82">
        <f>Targets!J17</f>
        <v>3</v>
      </c>
      <c r="H27" s="20">
        <f>Targets!K17</f>
        <v>2</v>
      </c>
      <c r="J27" s="45" t="s">
        <v>46</v>
      </c>
      <c r="K27" s="86"/>
      <c r="L27" s="82">
        <f>Targets!G18</f>
        <v>2</v>
      </c>
      <c r="M27" s="82">
        <f>Targets!H18</f>
        <v>1</v>
      </c>
      <c r="N27" s="82">
        <f>Targets!I18</f>
        <v>2</v>
      </c>
      <c r="O27" s="82">
        <f>Targets!J18</f>
        <v>1</v>
      </c>
      <c r="P27" s="20">
        <f>Targets!K18</f>
        <v>1</v>
      </c>
    </row>
    <row r="28" spans="2:16" x14ac:dyDescent="0.25">
      <c r="B28" s="29" t="s">
        <v>47</v>
      </c>
      <c r="C28" s="87"/>
      <c r="D28" s="83">
        <f t="shared" ref="D28:H28" si="3">IFERROR(D26/D27,0)</f>
        <v>1.1666666666666667</v>
      </c>
      <c r="E28" s="83">
        <f t="shared" si="3"/>
        <v>3</v>
      </c>
      <c r="F28" s="83">
        <f t="shared" si="3"/>
        <v>0.8</v>
      </c>
      <c r="G28" s="83">
        <f t="shared" si="3"/>
        <v>1.3333333333333333</v>
      </c>
      <c r="H28" s="16">
        <f t="shared" si="3"/>
        <v>1.5</v>
      </c>
      <c r="J28" s="45" t="s">
        <v>47</v>
      </c>
      <c r="K28" s="87"/>
      <c r="L28" s="83">
        <f t="shared" ref="L28" si="4">IFERROR(L26/L27,0)</f>
        <v>0.5</v>
      </c>
      <c r="M28" s="83">
        <f t="shared" ref="M28" si="5">IFERROR(M26/M27,0)</f>
        <v>1</v>
      </c>
      <c r="N28" s="83">
        <f t="shared" ref="N28" si="6">IFERROR(N26/N27,0)</f>
        <v>1</v>
      </c>
      <c r="O28" s="83">
        <f t="shared" ref="O28" si="7">IFERROR(O26/O27,0)</f>
        <v>1</v>
      </c>
      <c r="P28" s="16">
        <f t="shared" ref="P28" si="8">IFERROR(P26/P27,0)</f>
        <v>1</v>
      </c>
    </row>
    <row r="29" spans="2:16" x14ac:dyDescent="0.25">
      <c r="B29" s="29" t="s">
        <v>49</v>
      </c>
      <c r="C29" s="85">
        <f>SUM(D31:H31)/5</f>
        <v>1.7614285714285713</v>
      </c>
      <c r="D29" s="13">
        <f>ROUNDUP((D26/Targets!$D$7)*Targets!$D$8,0)</f>
        <v>20</v>
      </c>
      <c r="E29" s="13">
        <f>ROUNDUP((E26/Targets!$D$7)*Targets!$D$8,0)</f>
        <v>17</v>
      </c>
      <c r="F29" s="13">
        <f>ROUNDUP((F26/Targets!$D$7)*Targets!$D$8,0)</f>
        <v>11</v>
      </c>
      <c r="G29" s="13">
        <f>ROUNDUP((G26/Targets!$D$7)*Targets!$D$8,0)</f>
        <v>11</v>
      </c>
      <c r="H29" s="20">
        <f>ROUNDUP((H26/Targets!$D$7)*Targets!$D$8,0)</f>
        <v>9</v>
      </c>
      <c r="J29" s="45" t="s">
        <v>49</v>
      </c>
      <c r="K29" s="85">
        <f>SUM(L31:P31)/5</f>
        <v>1.1599999999999999</v>
      </c>
      <c r="L29" s="13">
        <f>ROUNDUP((L26/Targets!$D$7)*Targets!$D$8,0)</f>
        <v>3</v>
      </c>
      <c r="M29" s="13">
        <f>ROUNDUP((M26/Targets!$D$7)*Targets!$D$8,0)</f>
        <v>3</v>
      </c>
      <c r="N29" s="13">
        <f>ROUNDUP((N26/Targets!$D$7)*Targets!$D$8,0)</f>
        <v>6</v>
      </c>
      <c r="O29" s="13">
        <f>ROUNDUP((O26/Targets!$D$7)*Targets!$D$8,0)</f>
        <v>3</v>
      </c>
      <c r="P29" s="20">
        <f>ROUNDUP((P26/Targets!$D$7)*Targets!$D$8,0)</f>
        <v>3</v>
      </c>
    </row>
    <row r="30" spans="2:16" x14ac:dyDescent="0.25">
      <c r="B30" s="29" t="s">
        <v>48</v>
      </c>
      <c r="C30" s="86"/>
      <c r="D30" s="13">
        <f>Targets!M17</f>
        <v>16</v>
      </c>
      <c r="E30" s="13">
        <f>Targets!N17</f>
        <v>5</v>
      </c>
      <c r="F30" s="13">
        <f>Targets!O17</f>
        <v>14</v>
      </c>
      <c r="G30" s="13">
        <f>Targets!P17</f>
        <v>7</v>
      </c>
      <c r="H30" s="20">
        <f>Targets!Q17</f>
        <v>5</v>
      </c>
      <c r="J30" s="45" t="s">
        <v>48</v>
      </c>
      <c r="K30" s="86"/>
      <c r="L30" s="13">
        <f>Targets!M18</f>
        <v>5</v>
      </c>
      <c r="M30" s="13">
        <f>Targets!N18</f>
        <v>2</v>
      </c>
      <c r="N30" s="13">
        <f>Targets!O18</f>
        <v>5</v>
      </c>
      <c r="O30" s="13">
        <f>Targets!P18</f>
        <v>3</v>
      </c>
      <c r="P30" s="20">
        <f>Targets!Q18</f>
        <v>2</v>
      </c>
    </row>
    <row r="31" spans="2:16" x14ac:dyDescent="0.25">
      <c r="B31" s="30" t="s">
        <v>50</v>
      </c>
      <c r="C31" s="87"/>
      <c r="D31" s="83">
        <f t="shared" ref="D31:H31" si="9">IFERROR(D29/D30,0)</f>
        <v>1.25</v>
      </c>
      <c r="E31" s="83">
        <f t="shared" si="9"/>
        <v>3.4</v>
      </c>
      <c r="F31" s="83">
        <f t="shared" si="9"/>
        <v>0.7857142857142857</v>
      </c>
      <c r="G31" s="83">
        <f t="shared" si="9"/>
        <v>1.5714285714285714</v>
      </c>
      <c r="H31" s="16">
        <f t="shared" si="9"/>
        <v>1.8</v>
      </c>
      <c r="J31" s="46" t="s">
        <v>50</v>
      </c>
      <c r="K31" s="87"/>
      <c r="L31" s="83">
        <f t="shared" ref="L31" si="10">IFERROR(L29/L30,0)</f>
        <v>0.6</v>
      </c>
      <c r="M31" s="83">
        <f t="shared" ref="M31" si="11">IFERROR(M29/M30,0)</f>
        <v>1.5</v>
      </c>
      <c r="N31" s="83">
        <f t="shared" ref="N31" si="12">IFERROR(N29/N30,0)</f>
        <v>1.2</v>
      </c>
      <c r="O31" s="83">
        <f t="shared" ref="O31" si="13">IFERROR(O29/O30,0)</f>
        <v>1</v>
      </c>
      <c r="P31" s="16">
        <f t="shared" ref="P31" si="14">IFERROR(P29/P30,0)</f>
        <v>1.5</v>
      </c>
    </row>
    <row r="33" spans="2:16" x14ac:dyDescent="0.25">
      <c r="C33" s="56" t="str">
        <f>IF(Targets!C19="","",Targets!C19)</f>
        <v>Liara Thompson</v>
      </c>
      <c r="D33" s="57"/>
      <c r="E33" s="57"/>
      <c r="F33" s="57"/>
      <c r="G33" s="57"/>
      <c r="H33" s="58"/>
      <c r="K33" s="56" t="str">
        <f>IF(Targets!C21="","",Targets!C21)</f>
        <v>Elliot Decker</v>
      </c>
      <c r="L33" s="57"/>
      <c r="M33" s="57"/>
      <c r="N33" s="57"/>
      <c r="O33" s="57"/>
      <c r="P33" s="58"/>
    </row>
    <row r="34" spans="2:16" ht="45" x14ac:dyDescent="0.25">
      <c r="B34" s="48" t="str">
        <f>IF(Targets!B19="","",Targets!B19)</f>
        <v>E5523</v>
      </c>
      <c r="C34" s="84" t="s">
        <v>44</v>
      </c>
      <c r="D34" s="79" t="s">
        <v>58</v>
      </c>
      <c r="E34" s="79" t="s">
        <v>59</v>
      </c>
      <c r="F34" s="79" t="s">
        <v>60</v>
      </c>
      <c r="G34" s="79" t="s">
        <v>61</v>
      </c>
      <c r="H34" s="80" t="s">
        <v>63</v>
      </c>
      <c r="J34" s="48" t="str">
        <f>IF(Targets!B21="","",Targets!B21)</f>
        <v>E5138</v>
      </c>
      <c r="K34" s="84" t="s">
        <v>44</v>
      </c>
      <c r="L34" s="79" t="s">
        <v>58</v>
      </c>
      <c r="M34" s="79" t="s">
        <v>59</v>
      </c>
      <c r="N34" s="79" t="s">
        <v>60</v>
      </c>
      <c r="O34" s="79" t="s">
        <v>61</v>
      </c>
      <c r="P34" s="80" t="s">
        <v>63</v>
      </c>
    </row>
    <row r="35" spans="2:16" x14ac:dyDescent="0.25">
      <c r="B35" s="44" t="s">
        <v>45</v>
      </c>
      <c r="C35" s="85">
        <f>SUM(D37:H37)/5</f>
        <v>1.0566666666666666</v>
      </c>
      <c r="D35" s="10">
        <f>SUMIFS(Transactions[Quantity],Transactions[Product],"ACME JA1400 Home Sewing Machine",Transactions[Staff Name],"Liara Thompson")</f>
        <v>7</v>
      </c>
      <c r="E35" s="10">
        <f>SUMIFS(Transactions[Quantity],Transactions[Product],"ACME JC3900 Embroidery Machine",Transactions[Staff Name],"Liara Thompson")</f>
        <v>5</v>
      </c>
      <c r="F35" s="10">
        <f>SUMIFS(Transactions[Quantity],Transactions[Product],"ACME JD1700 Industrial Sewing Machine",Transactions[Staff Name],"Liara Thompson")</f>
        <v>12</v>
      </c>
      <c r="G35" s="10">
        <f>SUMIFS(Transactions[Quantity],Transactions[Product],"ACME JF4400 Overlocker",Transactions[Staff Name],"Liara Thompson")</f>
        <v>5</v>
      </c>
      <c r="H35" s="81">
        <f>SUMIFS(Transactions[Quantity],Transactions[Product],"ACME JS17 Compact Sewing Machine",Transactions[Staff Name],"Liara Thompson")</f>
        <v>5</v>
      </c>
      <c r="J35" s="44" t="s">
        <v>45</v>
      </c>
      <c r="K35" s="85">
        <f>SUM(L37:P37)/5</f>
        <v>0.92777777777777781</v>
      </c>
      <c r="L35" s="10">
        <f>SUMIFS(Transactions[Quantity],Transactions[Product],"ACME JA1400 Home Sewing Machine",Transactions[Staff Name],"Elliot Decker")</f>
        <v>8</v>
      </c>
      <c r="M35" s="10">
        <f>SUMIFS(Transactions[Quantity],Transactions[Product],"ACME JC3900 Embroidery Machine",Transactions[Staff Name],"Elliot Decker")</f>
        <v>3</v>
      </c>
      <c r="N35" s="10">
        <f>SUMIFS(Transactions[Quantity],Transactions[Product],"ACME JD1700 Industrial Sewing Machine",Transactions[Staff Name],"Elliot Decker")</f>
        <v>8</v>
      </c>
      <c r="O35" s="10">
        <f>SUMIFS(Transactions[Quantity],Transactions[Product],"ACME JF4400 Overlocker",Transactions[Staff Name],"Elliot Decker")</f>
        <v>3</v>
      </c>
      <c r="P35" s="81">
        <f>SUMIFS(Transactions[Quantity],Transactions[Product],"ACME JS17 Compact Sewing Machine",Transactions[Staff Name],"Elliot Decker")</f>
        <v>3</v>
      </c>
    </row>
    <row r="36" spans="2:16" x14ac:dyDescent="0.25">
      <c r="B36" s="45" t="s">
        <v>46</v>
      </c>
      <c r="C36" s="86"/>
      <c r="D36" s="82">
        <f>Targets!G19</f>
        <v>12</v>
      </c>
      <c r="E36" s="82">
        <f>Targets!H19</f>
        <v>4</v>
      </c>
      <c r="F36" s="82">
        <f>Targets!I19</f>
        <v>10</v>
      </c>
      <c r="G36" s="82">
        <f>Targets!J19</f>
        <v>5</v>
      </c>
      <c r="H36" s="20">
        <f>Targets!K19</f>
        <v>4</v>
      </c>
      <c r="J36" s="45" t="s">
        <v>46</v>
      </c>
      <c r="K36" s="86"/>
      <c r="L36" s="82">
        <f>Targets!G21</f>
        <v>9</v>
      </c>
      <c r="M36" s="82">
        <f>Targets!H21</f>
        <v>3</v>
      </c>
      <c r="N36" s="82">
        <f>Targets!I21</f>
        <v>8</v>
      </c>
      <c r="O36" s="82">
        <f>Targets!J21</f>
        <v>4</v>
      </c>
      <c r="P36" s="20">
        <f>Targets!K21</f>
        <v>3</v>
      </c>
    </row>
    <row r="37" spans="2:16" x14ac:dyDescent="0.25">
      <c r="B37" s="45" t="s">
        <v>47</v>
      </c>
      <c r="C37" s="87"/>
      <c r="D37" s="83">
        <f t="shared" ref="D37" si="15">IFERROR(D35/D36,0)</f>
        <v>0.58333333333333337</v>
      </c>
      <c r="E37" s="83">
        <f t="shared" ref="E37" si="16">IFERROR(E35/E36,0)</f>
        <v>1.25</v>
      </c>
      <c r="F37" s="83">
        <f t="shared" ref="F37" si="17">IFERROR(F35/F36,0)</f>
        <v>1.2</v>
      </c>
      <c r="G37" s="83">
        <f t="shared" ref="G37" si="18">IFERROR(G35/G36,0)</f>
        <v>1</v>
      </c>
      <c r="H37" s="16">
        <f t="shared" ref="H37" si="19">IFERROR(H35/H36,0)</f>
        <v>1.25</v>
      </c>
      <c r="J37" s="45" t="s">
        <v>47</v>
      </c>
      <c r="K37" s="87"/>
      <c r="L37" s="83">
        <f t="shared" ref="L37" si="20">IFERROR(L35/L36,0)</f>
        <v>0.88888888888888884</v>
      </c>
      <c r="M37" s="83">
        <f t="shared" ref="M37" si="21">IFERROR(M35/M36,0)</f>
        <v>1</v>
      </c>
      <c r="N37" s="83">
        <f t="shared" ref="N37" si="22">IFERROR(N35/N36,0)</f>
        <v>1</v>
      </c>
      <c r="O37" s="83">
        <f t="shared" ref="O37" si="23">IFERROR(O35/O36,0)</f>
        <v>0.75</v>
      </c>
      <c r="P37" s="16">
        <f t="shared" ref="P37" si="24">IFERROR(P35/P36,0)</f>
        <v>1</v>
      </c>
    </row>
    <row r="38" spans="2:16" x14ac:dyDescent="0.25">
      <c r="B38" s="45" t="s">
        <v>49</v>
      </c>
      <c r="C38" s="85">
        <f>SUM(D40:H40)/5</f>
        <v>1.1294444444444445</v>
      </c>
      <c r="D38" s="13">
        <f>ROUNDUP((D35/Targets!$D$7)*Targets!$D$8,0)</f>
        <v>20</v>
      </c>
      <c r="E38" s="13">
        <f>ROUNDUP((E35/Targets!$D$7)*Targets!$D$8,0)</f>
        <v>14</v>
      </c>
      <c r="F38" s="13">
        <f>ROUNDUP((F35/Targets!$D$7)*Targets!$D$8,0)</f>
        <v>33</v>
      </c>
      <c r="G38" s="13">
        <f>ROUNDUP((G35/Targets!$D$7)*Targets!$D$8,0)</f>
        <v>14</v>
      </c>
      <c r="H38" s="20">
        <f>ROUNDUP((H35/Targets!$D$7)*Targets!$D$8,0)</f>
        <v>14</v>
      </c>
      <c r="J38" s="45" t="s">
        <v>49</v>
      </c>
      <c r="K38" s="85">
        <f>SUM(L40:P40)/5</f>
        <v>1.0976190476190477</v>
      </c>
      <c r="L38" s="13">
        <f>ROUNDUP((L35/Targets!$D$7)*Targets!$D$8,0)</f>
        <v>22</v>
      </c>
      <c r="M38" s="13">
        <f>ROUNDUP((M35/Targets!$D$7)*Targets!$D$8,0)</f>
        <v>9</v>
      </c>
      <c r="N38" s="13">
        <f>ROUNDUP((N35/Targets!$D$7)*Targets!$D$8,0)</f>
        <v>22</v>
      </c>
      <c r="O38" s="13">
        <f>ROUNDUP((O35/Targets!$D$7)*Targets!$D$8,0)</f>
        <v>9</v>
      </c>
      <c r="P38" s="20">
        <f>ROUNDUP((P35/Targets!$D$7)*Targets!$D$8,0)</f>
        <v>9</v>
      </c>
    </row>
    <row r="39" spans="2:16" x14ac:dyDescent="0.25">
      <c r="B39" s="45" t="s">
        <v>48</v>
      </c>
      <c r="C39" s="86"/>
      <c r="D39" s="13">
        <f>Targets!M19</f>
        <v>32</v>
      </c>
      <c r="E39" s="13">
        <f>Targets!N19</f>
        <v>10</v>
      </c>
      <c r="F39" s="13">
        <f>Targets!O19</f>
        <v>27</v>
      </c>
      <c r="G39" s="13">
        <f>Targets!P19</f>
        <v>14</v>
      </c>
      <c r="H39" s="20">
        <f>Targets!Q19</f>
        <v>10</v>
      </c>
      <c r="J39" s="45" t="s">
        <v>48</v>
      </c>
      <c r="K39" s="86"/>
      <c r="L39" s="13">
        <f>Targets!M21</f>
        <v>24</v>
      </c>
      <c r="M39" s="13">
        <f>Targets!N21</f>
        <v>7</v>
      </c>
      <c r="N39" s="13">
        <f>Targets!O21</f>
        <v>20</v>
      </c>
      <c r="O39" s="13">
        <f>Targets!P21</f>
        <v>10</v>
      </c>
      <c r="P39" s="20">
        <f>Targets!Q21</f>
        <v>7</v>
      </c>
    </row>
    <row r="40" spans="2:16" x14ac:dyDescent="0.25">
      <c r="B40" s="46" t="s">
        <v>50</v>
      </c>
      <c r="C40" s="87"/>
      <c r="D40" s="83">
        <f t="shared" ref="D40" si="25">IFERROR(D38/D39,0)</f>
        <v>0.625</v>
      </c>
      <c r="E40" s="83">
        <f t="shared" ref="E40" si="26">IFERROR(E38/E39,0)</f>
        <v>1.4</v>
      </c>
      <c r="F40" s="83">
        <f t="shared" ref="F40" si="27">IFERROR(F38/F39,0)</f>
        <v>1.2222222222222223</v>
      </c>
      <c r="G40" s="83">
        <f t="shared" ref="G40" si="28">IFERROR(G38/G39,0)</f>
        <v>1</v>
      </c>
      <c r="H40" s="16">
        <f t="shared" ref="H40" si="29">IFERROR(H38/H39,0)</f>
        <v>1.4</v>
      </c>
      <c r="J40" s="46" t="s">
        <v>50</v>
      </c>
      <c r="K40" s="87"/>
      <c r="L40" s="83">
        <f t="shared" ref="L40" si="30">IFERROR(L38/L39,0)</f>
        <v>0.91666666666666663</v>
      </c>
      <c r="M40" s="83">
        <f t="shared" ref="M40" si="31">IFERROR(M38/M39,0)</f>
        <v>1.2857142857142858</v>
      </c>
      <c r="N40" s="83">
        <f t="shared" ref="N40" si="32">IFERROR(N38/N39,0)</f>
        <v>1.1000000000000001</v>
      </c>
      <c r="O40" s="83">
        <f t="shared" ref="O40" si="33">IFERROR(O38/O39,0)</f>
        <v>0.9</v>
      </c>
      <c r="P40" s="16">
        <f t="shared" ref="P40" si="34">IFERROR(P38/P39,0)</f>
        <v>1.2857142857142858</v>
      </c>
    </row>
    <row r="42" spans="2:16" x14ac:dyDescent="0.25">
      <c r="C42" s="56" t="str">
        <f>IF(Targets!C20="","",Targets!C20)</f>
        <v>Jacob Newell</v>
      </c>
      <c r="D42" s="57"/>
      <c r="E42" s="57"/>
      <c r="F42" s="57"/>
      <c r="G42" s="57"/>
      <c r="H42" s="58"/>
      <c r="K42" s="56" t="str">
        <f>IF(Targets!C22="","",Targets!C22)</f>
        <v>Nadia Williams</v>
      </c>
      <c r="L42" s="57"/>
      <c r="M42" s="57"/>
      <c r="N42" s="57"/>
      <c r="O42" s="57"/>
      <c r="P42" s="58"/>
    </row>
    <row r="43" spans="2:16" ht="45" x14ac:dyDescent="0.25">
      <c r="B43" s="48" t="str">
        <f>IF(Targets!B20="","",Targets!B20)</f>
        <v>E4177</v>
      </c>
      <c r="C43" s="84" t="s">
        <v>44</v>
      </c>
      <c r="D43" s="79" t="s">
        <v>58</v>
      </c>
      <c r="E43" s="79" t="s">
        <v>59</v>
      </c>
      <c r="F43" s="79" t="s">
        <v>60</v>
      </c>
      <c r="G43" s="79" t="s">
        <v>61</v>
      </c>
      <c r="H43" s="80" t="s">
        <v>63</v>
      </c>
      <c r="J43" s="48" t="str">
        <f>IF(Targets!B22="","",Targets!B22)</f>
        <v>E3897</v>
      </c>
      <c r="K43" s="84" t="s">
        <v>44</v>
      </c>
      <c r="L43" s="79" t="s">
        <v>58</v>
      </c>
      <c r="M43" s="79" t="s">
        <v>59</v>
      </c>
      <c r="N43" s="79" t="s">
        <v>60</v>
      </c>
      <c r="O43" s="79" t="s">
        <v>61</v>
      </c>
      <c r="P43" s="80" t="s">
        <v>63</v>
      </c>
    </row>
    <row r="44" spans="2:16" x14ac:dyDescent="0.25">
      <c r="B44" s="44" t="s">
        <v>45</v>
      </c>
      <c r="C44" s="85">
        <f>SUM(D46:H46)/5</f>
        <v>1.1000000000000001</v>
      </c>
      <c r="D44" s="10">
        <f>SUMIFS(Transactions[Quantity],Transactions[Product],"ACME JA1400 Home Sewing Machine",Transactions[Staff Name],"Jacob Newell")</f>
        <v>5</v>
      </c>
      <c r="E44" s="10">
        <f>SUMIFS(Transactions[Quantity],Transactions[Product],"ACME JC3900 Embroidery Machine",Transactions[Staff Name],"Jacob Newell")</f>
        <v>3</v>
      </c>
      <c r="F44" s="10">
        <f>SUMIFS(Transactions[Quantity],Transactions[Product],"ACME JD1700 Industrial Sewing Machine",Transactions[Staff Name],"Jacob Newell")</f>
        <v>6</v>
      </c>
      <c r="G44" s="10">
        <f>SUMIFS(Transactions[Quantity],Transactions[Product],"ACME JF4400 Overlocker",Transactions[Staff Name],"Jacob Newell")</f>
        <v>2</v>
      </c>
      <c r="H44" s="81">
        <f>SUMIFS(Transactions[Quantity],Transactions[Product],"ACME JS17 Compact Sewing Machine",Transactions[Staff Name],"Jacob Newell")</f>
        <v>1</v>
      </c>
      <c r="J44" s="44" t="s">
        <v>45</v>
      </c>
      <c r="K44" s="85">
        <f>SUM(L46:P46)/5</f>
        <v>0.97</v>
      </c>
      <c r="L44" s="10">
        <f>SUMIFS(Transactions[Quantity],Transactions[Product],"ACME JA1400 Home Sewing Machine",Transactions[Staff Name],"Nadia Williams")</f>
        <v>15</v>
      </c>
      <c r="M44" s="10">
        <f>SUMIFS(Transactions[Quantity],Transactions[Product],"ACME JC3900 Embroidery Machine",Transactions[Staff Name],"Nadia Williams")</f>
        <v>4</v>
      </c>
      <c r="N44" s="10">
        <f>SUMIFS(Transactions[Quantity],Transactions[Product],"ACME JD1700 Industrial Sewing Machine",Transactions[Staff Name],"Nadia Williams")</f>
        <v>10</v>
      </c>
      <c r="O44" s="10">
        <f>SUMIFS(Transactions[Quantity],Transactions[Product],"ACME JF4400 Overlocker",Transactions[Staff Name],"Nadia Williams")</f>
        <v>3</v>
      </c>
      <c r="P44" s="81">
        <f>SUMIFS(Transactions[Quantity],Transactions[Product],"ACME JS17 Compact Sewing Machine",Transactions[Staff Name],"Nadia Williams")</f>
        <v>4</v>
      </c>
    </row>
    <row r="45" spans="2:16" x14ac:dyDescent="0.25">
      <c r="B45" s="45" t="s">
        <v>46</v>
      </c>
      <c r="C45" s="86"/>
      <c r="D45" s="82">
        <f>Targets!G20</f>
        <v>5</v>
      </c>
      <c r="E45" s="82">
        <f>Targets!H20</f>
        <v>2</v>
      </c>
      <c r="F45" s="82">
        <f>Targets!I20</f>
        <v>4</v>
      </c>
      <c r="G45" s="82">
        <f>Targets!J20</f>
        <v>2</v>
      </c>
      <c r="H45" s="20">
        <f>Targets!K20</f>
        <v>2</v>
      </c>
      <c r="J45" s="45" t="s">
        <v>46</v>
      </c>
      <c r="K45" s="86"/>
      <c r="L45" s="82">
        <f>Targets!G22</f>
        <v>12</v>
      </c>
      <c r="M45" s="82">
        <f>Targets!H22</f>
        <v>4</v>
      </c>
      <c r="N45" s="82">
        <f>Targets!I22</f>
        <v>10</v>
      </c>
      <c r="O45" s="82">
        <f>Targets!J22</f>
        <v>5</v>
      </c>
      <c r="P45" s="20">
        <f>Targets!K22</f>
        <v>4</v>
      </c>
    </row>
    <row r="46" spans="2:16" x14ac:dyDescent="0.25">
      <c r="B46" s="45" t="s">
        <v>47</v>
      </c>
      <c r="C46" s="87"/>
      <c r="D46" s="83">
        <f t="shared" ref="D46" si="35">IFERROR(D44/D45,0)</f>
        <v>1</v>
      </c>
      <c r="E46" s="83">
        <f t="shared" ref="E46" si="36">IFERROR(E44/E45,0)</f>
        <v>1.5</v>
      </c>
      <c r="F46" s="83">
        <f t="shared" ref="F46" si="37">IFERROR(F44/F45,0)</f>
        <v>1.5</v>
      </c>
      <c r="G46" s="83">
        <f t="shared" ref="G46" si="38">IFERROR(G44/G45,0)</f>
        <v>1</v>
      </c>
      <c r="H46" s="16">
        <f t="shared" ref="H46" si="39">IFERROR(H44/H45,0)</f>
        <v>0.5</v>
      </c>
      <c r="J46" s="45" t="s">
        <v>47</v>
      </c>
      <c r="K46" s="87"/>
      <c r="L46" s="83">
        <f t="shared" ref="L46" si="40">IFERROR(L44/L45,0)</f>
        <v>1.25</v>
      </c>
      <c r="M46" s="83">
        <f t="shared" ref="M46" si="41">IFERROR(M44/M45,0)</f>
        <v>1</v>
      </c>
      <c r="N46" s="83">
        <f t="shared" ref="N46" si="42">IFERROR(N44/N45,0)</f>
        <v>1</v>
      </c>
      <c r="O46" s="83">
        <f t="shared" ref="O46" si="43">IFERROR(O44/O45,0)</f>
        <v>0.6</v>
      </c>
      <c r="P46" s="16">
        <f t="shared" ref="P46" si="44">IFERROR(P44/P45,0)</f>
        <v>1</v>
      </c>
    </row>
    <row r="47" spans="2:16" x14ac:dyDescent="0.25">
      <c r="B47" s="45" t="s">
        <v>49</v>
      </c>
      <c r="C47" s="85">
        <f>SUM(D49:H49)/5</f>
        <v>1.3244755244755244</v>
      </c>
      <c r="D47" s="13">
        <f>ROUNDUP((D44/Targets!$D$7)*Targets!$D$8,0)</f>
        <v>14</v>
      </c>
      <c r="E47" s="13">
        <f>ROUNDUP((E44/Targets!$D$7)*Targets!$D$8,0)</f>
        <v>9</v>
      </c>
      <c r="F47" s="13">
        <f>ROUNDUP((F44/Targets!$D$7)*Targets!$D$8,0)</f>
        <v>17</v>
      </c>
      <c r="G47" s="13">
        <f>ROUNDUP((G44/Targets!$D$7)*Targets!$D$8,0)</f>
        <v>6</v>
      </c>
      <c r="H47" s="20">
        <f>ROUNDUP((H44/Targets!$D$7)*Targets!$D$8,0)</f>
        <v>3</v>
      </c>
      <c r="J47" s="45" t="s">
        <v>49</v>
      </c>
      <c r="K47" s="85">
        <f>SUM(L49:P49)/5</f>
        <v>1.0322288359788359</v>
      </c>
      <c r="L47" s="13">
        <f>ROUNDUP((L44/Targets!$D$7)*Targets!$D$8,0)</f>
        <v>41</v>
      </c>
      <c r="M47" s="13">
        <f>ROUNDUP((M44/Targets!$D$7)*Targets!$D$8,0)</f>
        <v>11</v>
      </c>
      <c r="N47" s="13">
        <f>ROUNDUP((N44/Targets!$D$7)*Targets!$D$8,0)</f>
        <v>28</v>
      </c>
      <c r="O47" s="13">
        <f>ROUNDUP((O44/Targets!$D$7)*Targets!$D$8,0)</f>
        <v>9</v>
      </c>
      <c r="P47" s="20">
        <f>ROUNDUP((P44/Targets!$D$7)*Targets!$D$8,0)</f>
        <v>11</v>
      </c>
    </row>
    <row r="48" spans="2:16" x14ac:dyDescent="0.25">
      <c r="B48" s="45" t="s">
        <v>48</v>
      </c>
      <c r="C48" s="86"/>
      <c r="D48" s="13">
        <f>Targets!M20</f>
        <v>13</v>
      </c>
      <c r="E48" s="13">
        <f>Targets!N20</f>
        <v>4</v>
      </c>
      <c r="F48" s="13">
        <f>Targets!O20</f>
        <v>11</v>
      </c>
      <c r="G48" s="13">
        <f>Targets!P20</f>
        <v>6</v>
      </c>
      <c r="H48" s="20">
        <f>Targets!Q20</f>
        <v>4</v>
      </c>
      <c r="J48" s="45" t="s">
        <v>48</v>
      </c>
      <c r="K48" s="86"/>
      <c r="L48" s="13">
        <f>Targets!M22</f>
        <v>32</v>
      </c>
      <c r="M48" s="13">
        <f>Targets!N22</f>
        <v>10</v>
      </c>
      <c r="N48" s="13">
        <f>Targets!O22</f>
        <v>27</v>
      </c>
      <c r="O48" s="13">
        <f>Targets!P22</f>
        <v>14</v>
      </c>
      <c r="P48" s="20">
        <f>Targets!Q22</f>
        <v>10</v>
      </c>
    </row>
    <row r="49" spans="2:16" x14ac:dyDescent="0.25">
      <c r="B49" s="46" t="s">
        <v>50</v>
      </c>
      <c r="C49" s="87"/>
      <c r="D49" s="83">
        <f t="shared" ref="D49" si="45">IFERROR(D47/D48,0)</f>
        <v>1.0769230769230769</v>
      </c>
      <c r="E49" s="83">
        <f t="shared" ref="E49" si="46">IFERROR(E47/E48,0)</f>
        <v>2.25</v>
      </c>
      <c r="F49" s="83">
        <f t="shared" ref="F49" si="47">IFERROR(F47/F48,0)</f>
        <v>1.5454545454545454</v>
      </c>
      <c r="G49" s="83">
        <f t="shared" ref="G49" si="48">IFERROR(G47/G48,0)</f>
        <v>1</v>
      </c>
      <c r="H49" s="16">
        <f t="shared" ref="H49" si="49">IFERROR(H47/H48,0)</f>
        <v>0.75</v>
      </c>
      <c r="J49" s="46" t="s">
        <v>50</v>
      </c>
      <c r="K49" s="87"/>
      <c r="L49" s="83">
        <f t="shared" ref="L49" si="50">IFERROR(L47/L48,0)</f>
        <v>1.28125</v>
      </c>
      <c r="M49" s="83">
        <f t="shared" ref="M49" si="51">IFERROR(M47/M48,0)</f>
        <v>1.1000000000000001</v>
      </c>
      <c r="N49" s="83">
        <f t="shared" ref="N49" si="52">IFERROR(N47/N48,0)</f>
        <v>1.037037037037037</v>
      </c>
      <c r="O49" s="83">
        <f t="shared" ref="O49" si="53">IFERROR(O47/O48,0)</f>
        <v>0.6428571428571429</v>
      </c>
      <c r="P49" s="16">
        <f t="shared" ref="P49" si="54">IFERROR(P47/P48,0)</f>
        <v>1.1000000000000001</v>
      </c>
    </row>
  </sheetData>
  <mergeCells count="22">
    <mergeCell ref="C44:C46"/>
    <mergeCell ref="C47:C49"/>
    <mergeCell ref="K42:P42"/>
    <mergeCell ref="K44:K46"/>
    <mergeCell ref="K47:K49"/>
    <mergeCell ref="C38:C40"/>
    <mergeCell ref="K33:P33"/>
    <mergeCell ref="K35:K37"/>
    <mergeCell ref="K38:K40"/>
    <mergeCell ref="C42:H42"/>
    <mergeCell ref="B2:Q4"/>
    <mergeCell ref="C10:C12"/>
    <mergeCell ref="C13:C15"/>
    <mergeCell ref="C26:C28"/>
    <mergeCell ref="C29:C31"/>
    <mergeCell ref="C24:H24"/>
    <mergeCell ref="K24:P24"/>
    <mergeCell ref="K26:K28"/>
    <mergeCell ref="K29:K31"/>
    <mergeCell ref="C33:H33"/>
    <mergeCell ref="C35:C37"/>
    <mergeCell ref="C8:H8"/>
  </mergeCells>
  <phoneticPr fontId="2" type="noConversion"/>
  <conditionalFormatting sqref="D12:H12">
    <cfRule type="cellIs" dxfId="156" priority="244" operator="between">
      <formula>1</formula>
      <formula>10</formula>
    </cfRule>
    <cfRule type="cellIs" dxfId="155" priority="245" operator="between">
      <formula>0.8</formula>
      <formula>0.999999</formula>
    </cfRule>
    <cfRule type="cellIs" dxfId="154" priority="246" operator="between">
      <formula>0.000001</formula>
      <formula>0.799999</formula>
    </cfRule>
  </conditionalFormatting>
  <conditionalFormatting sqref="C10">
    <cfRule type="cellIs" dxfId="153" priority="241" operator="between">
      <formula>1</formula>
      <formula>100</formula>
    </cfRule>
    <cfRule type="cellIs" dxfId="152" priority="242" operator="between">
      <formula>0.8</formula>
      <formula>0.999999</formula>
    </cfRule>
    <cfRule type="cellIs" dxfId="151" priority="243" operator="between">
      <formula>0.000001</formula>
      <formula>0.799999</formula>
    </cfRule>
  </conditionalFormatting>
  <conditionalFormatting sqref="D15:H15">
    <cfRule type="cellIs" dxfId="150" priority="238" operator="between">
      <formula>1</formula>
      <formula>10</formula>
    </cfRule>
    <cfRule type="cellIs" dxfId="149" priority="239" operator="between">
      <formula>0.8</formula>
      <formula>0.999999</formula>
    </cfRule>
    <cfRule type="cellIs" dxfId="148" priority="240" operator="between">
      <formula>0.000001</formula>
      <formula>0.799999</formula>
    </cfRule>
  </conditionalFormatting>
  <conditionalFormatting sqref="C13">
    <cfRule type="cellIs" dxfId="93" priority="91" operator="between">
      <formula>1</formula>
      <formula>100</formula>
    </cfRule>
    <cfRule type="cellIs" dxfId="92" priority="92" operator="between">
      <formula>0.8</formula>
      <formula>0.999999</formula>
    </cfRule>
    <cfRule type="cellIs" dxfId="91" priority="93" operator="between">
      <formula>0.000001</formula>
      <formula>0.799999</formula>
    </cfRule>
  </conditionalFormatting>
  <conditionalFormatting sqref="D28:H28">
    <cfRule type="cellIs" dxfId="87" priority="85" operator="between">
      <formula>1</formula>
      <formula>10</formula>
    </cfRule>
    <cfRule type="cellIs" dxfId="86" priority="86" operator="between">
      <formula>0.8</formula>
      <formula>0.999999</formula>
    </cfRule>
    <cfRule type="cellIs" dxfId="85" priority="87" operator="between">
      <formula>0.000001</formula>
      <formula>0.799999</formula>
    </cfRule>
  </conditionalFormatting>
  <conditionalFormatting sqref="C26">
    <cfRule type="cellIs" dxfId="84" priority="82" operator="between">
      <formula>1</formula>
      <formula>100</formula>
    </cfRule>
    <cfRule type="cellIs" dxfId="83" priority="83" operator="between">
      <formula>0.8</formula>
      <formula>0.999999</formula>
    </cfRule>
    <cfRule type="cellIs" dxfId="82" priority="84" operator="between">
      <formula>0.000001</formula>
      <formula>0.799999</formula>
    </cfRule>
  </conditionalFormatting>
  <conditionalFormatting sqref="D31:H31">
    <cfRule type="cellIs" dxfId="81" priority="79" operator="between">
      <formula>1</formula>
      <formula>10</formula>
    </cfRule>
    <cfRule type="cellIs" dxfId="80" priority="80" operator="between">
      <formula>0.8</formula>
      <formula>0.999999</formula>
    </cfRule>
    <cfRule type="cellIs" dxfId="79" priority="81" operator="between">
      <formula>0.000001</formula>
      <formula>0.799999</formula>
    </cfRule>
  </conditionalFormatting>
  <conditionalFormatting sqref="C29">
    <cfRule type="cellIs" dxfId="78" priority="76" operator="between">
      <formula>1</formula>
      <formula>100</formula>
    </cfRule>
    <cfRule type="cellIs" dxfId="77" priority="77" operator="between">
      <formula>0.8</formula>
      <formula>0.999999</formula>
    </cfRule>
    <cfRule type="cellIs" dxfId="76" priority="78" operator="between">
      <formula>0.000001</formula>
      <formula>0.799999</formula>
    </cfRule>
  </conditionalFormatting>
  <conditionalFormatting sqref="L28:P28">
    <cfRule type="cellIs" dxfId="60" priority="58" operator="between">
      <formula>1</formula>
      <formula>10</formula>
    </cfRule>
    <cfRule type="cellIs" dxfId="59" priority="59" operator="between">
      <formula>0.8</formula>
      <formula>0.999999</formula>
    </cfRule>
    <cfRule type="cellIs" dxfId="58" priority="60" operator="between">
      <formula>0.000001</formula>
      <formula>0.799999</formula>
    </cfRule>
  </conditionalFormatting>
  <conditionalFormatting sqref="K26">
    <cfRule type="cellIs" dxfId="57" priority="55" operator="between">
      <formula>1</formula>
      <formula>100</formula>
    </cfRule>
    <cfRule type="cellIs" dxfId="56" priority="56" operator="between">
      <formula>0.8</formula>
      <formula>0.999999</formula>
    </cfRule>
    <cfRule type="cellIs" dxfId="55" priority="57" operator="between">
      <formula>0.000001</formula>
      <formula>0.799999</formula>
    </cfRule>
  </conditionalFormatting>
  <conditionalFormatting sqref="L31:P31">
    <cfRule type="cellIs" dxfId="54" priority="52" operator="between">
      <formula>1</formula>
      <formula>10</formula>
    </cfRule>
    <cfRule type="cellIs" dxfId="53" priority="53" operator="between">
      <formula>0.8</formula>
      <formula>0.999999</formula>
    </cfRule>
    <cfRule type="cellIs" dxfId="52" priority="54" operator="between">
      <formula>0.000001</formula>
      <formula>0.799999</formula>
    </cfRule>
  </conditionalFormatting>
  <conditionalFormatting sqref="K29">
    <cfRule type="cellIs" dxfId="51" priority="49" operator="between">
      <formula>1</formula>
      <formula>100</formula>
    </cfRule>
    <cfRule type="cellIs" dxfId="50" priority="50" operator="between">
      <formula>0.8</formula>
      <formula>0.999999</formula>
    </cfRule>
    <cfRule type="cellIs" dxfId="49" priority="51" operator="between">
      <formula>0.000001</formula>
      <formula>0.799999</formula>
    </cfRule>
  </conditionalFormatting>
  <conditionalFormatting sqref="D37:H37">
    <cfRule type="cellIs" dxfId="48" priority="46" operator="between">
      <formula>1</formula>
      <formula>10</formula>
    </cfRule>
    <cfRule type="cellIs" dxfId="47" priority="47" operator="between">
      <formula>0.8</formula>
      <formula>0.999999</formula>
    </cfRule>
    <cfRule type="cellIs" dxfId="46" priority="48" operator="between">
      <formula>0.000001</formula>
      <formula>0.799999</formula>
    </cfRule>
  </conditionalFormatting>
  <conditionalFormatting sqref="C35">
    <cfRule type="cellIs" dxfId="45" priority="43" operator="between">
      <formula>1</formula>
      <formula>100</formula>
    </cfRule>
    <cfRule type="cellIs" dxfId="44" priority="44" operator="between">
      <formula>0.8</formula>
      <formula>0.999999</formula>
    </cfRule>
    <cfRule type="cellIs" dxfId="43" priority="45" operator="between">
      <formula>0.000001</formula>
      <formula>0.799999</formula>
    </cfRule>
  </conditionalFormatting>
  <conditionalFormatting sqref="D40:H40">
    <cfRule type="cellIs" dxfId="42" priority="40" operator="between">
      <formula>1</formula>
      <formula>10</formula>
    </cfRule>
    <cfRule type="cellIs" dxfId="41" priority="41" operator="between">
      <formula>0.8</formula>
      <formula>0.999999</formula>
    </cfRule>
    <cfRule type="cellIs" dxfId="40" priority="42" operator="between">
      <formula>0.000001</formula>
      <formula>0.799999</formula>
    </cfRule>
  </conditionalFormatting>
  <conditionalFormatting sqref="C38">
    <cfRule type="cellIs" dxfId="39" priority="37" operator="between">
      <formula>1</formula>
      <formula>100</formula>
    </cfRule>
    <cfRule type="cellIs" dxfId="38" priority="38" operator="between">
      <formula>0.8</formula>
      <formula>0.999999</formula>
    </cfRule>
    <cfRule type="cellIs" dxfId="37" priority="39" operator="between">
      <formula>0.000001</formula>
      <formula>0.799999</formula>
    </cfRule>
  </conditionalFormatting>
  <conditionalFormatting sqref="L37:P37">
    <cfRule type="cellIs" dxfId="36" priority="34" operator="between">
      <formula>1</formula>
      <formula>10</formula>
    </cfRule>
    <cfRule type="cellIs" dxfId="35" priority="35" operator="between">
      <formula>0.8</formula>
      <formula>0.999999</formula>
    </cfRule>
    <cfRule type="cellIs" dxfId="34" priority="36" operator="between">
      <formula>0.000001</formula>
      <formula>0.799999</formula>
    </cfRule>
  </conditionalFormatting>
  <conditionalFormatting sqref="K35">
    <cfRule type="cellIs" dxfId="33" priority="31" operator="between">
      <formula>1</formula>
      <formula>100</formula>
    </cfRule>
    <cfRule type="cellIs" dxfId="32" priority="32" operator="between">
      <formula>0.8</formula>
      <formula>0.999999</formula>
    </cfRule>
    <cfRule type="cellIs" dxfId="31" priority="33" operator="between">
      <formula>0.000001</formula>
      <formula>0.799999</formula>
    </cfRule>
  </conditionalFormatting>
  <conditionalFormatting sqref="L40:P40">
    <cfRule type="cellIs" dxfId="30" priority="28" operator="between">
      <formula>1</formula>
      <formula>10</formula>
    </cfRule>
    <cfRule type="cellIs" dxfId="29" priority="29" operator="between">
      <formula>0.8</formula>
      <formula>0.999999</formula>
    </cfRule>
    <cfRule type="cellIs" dxfId="28" priority="30" operator="between">
      <formula>0.000001</formula>
      <formula>0.799999</formula>
    </cfRule>
  </conditionalFormatting>
  <conditionalFormatting sqref="K38">
    <cfRule type="cellIs" dxfId="27" priority="25" operator="between">
      <formula>1</formula>
      <formula>100</formula>
    </cfRule>
    <cfRule type="cellIs" dxfId="26" priority="26" operator="between">
      <formula>0.8</formula>
      <formula>0.999999</formula>
    </cfRule>
    <cfRule type="cellIs" dxfId="25" priority="27" operator="between">
      <formula>0.000001</formula>
      <formula>0.799999</formula>
    </cfRule>
  </conditionalFormatting>
  <conditionalFormatting sqref="D46:H46">
    <cfRule type="cellIs" dxfId="24" priority="22" operator="between">
      <formula>1</formula>
      <formula>10</formula>
    </cfRule>
    <cfRule type="cellIs" dxfId="23" priority="23" operator="between">
      <formula>0.8</formula>
      <formula>0.999999</formula>
    </cfRule>
    <cfRule type="cellIs" dxfId="22" priority="24" operator="between">
      <formula>0.000001</formula>
      <formula>0.799999</formula>
    </cfRule>
  </conditionalFormatting>
  <conditionalFormatting sqref="C44">
    <cfRule type="cellIs" dxfId="21" priority="19" operator="between">
      <formula>1</formula>
      <formula>100</formula>
    </cfRule>
    <cfRule type="cellIs" dxfId="20" priority="20" operator="between">
      <formula>0.8</formula>
      <formula>0.999999</formula>
    </cfRule>
    <cfRule type="cellIs" dxfId="19" priority="21" operator="between">
      <formula>0.000001</formula>
      <formula>0.799999</formula>
    </cfRule>
  </conditionalFormatting>
  <conditionalFormatting sqref="D49:H49">
    <cfRule type="cellIs" dxfId="18" priority="16" operator="between">
      <formula>1</formula>
      <formula>10</formula>
    </cfRule>
    <cfRule type="cellIs" dxfId="17" priority="17" operator="between">
      <formula>0.8</formula>
      <formula>0.999999</formula>
    </cfRule>
    <cfRule type="cellIs" dxfId="16" priority="18" operator="between">
      <formula>0.000001</formula>
      <formula>0.799999</formula>
    </cfRule>
  </conditionalFormatting>
  <conditionalFormatting sqref="C47">
    <cfRule type="cellIs" dxfId="15" priority="13" operator="between">
      <formula>1</formula>
      <formula>100</formula>
    </cfRule>
    <cfRule type="cellIs" dxfId="14" priority="14" operator="between">
      <formula>0.8</formula>
      <formula>0.999999</formula>
    </cfRule>
    <cfRule type="cellIs" dxfId="13" priority="15" operator="between">
      <formula>0.000001</formula>
      <formula>0.799999</formula>
    </cfRule>
  </conditionalFormatting>
  <conditionalFormatting sqref="L46:P46">
    <cfRule type="cellIs" dxfId="12" priority="10" operator="between">
      <formula>1</formula>
      <formula>10</formula>
    </cfRule>
    <cfRule type="cellIs" dxfId="11" priority="11" operator="between">
      <formula>0.8</formula>
      <formula>0.999999</formula>
    </cfRule>
    <cfRule type="cellIs" dxfId="10" priority="12" operator="between">
      <formula>0.000001</formula>
      <formula>0.799999</formula>
    </cfRule>
  </conditionalFormatting>
  <conditionalFormatting sqref="K44">
    <cfRule type="cellIs" dxfId="9" priority="7" operator="between">
      <formula>1</formula>
      <formula>100</formula>
    </cfRule>
    <cfRule type="cellIs" dxfId="8" priority="8" operator="between">
      <formula>0.8</formula>
      <formula>0.999999</formula>
    </cfRule>
    <cfRule type="cellIs" dxfId="7" priority="9" operator="between">
      <formula>0.000001</formula>
      <formula>0.799999</formula>
    </cfRule>
  </conditionalFormatting>
  <conditionalFormatting sqref="L49:P49">
    <cfRule type="cellIs" dxfId="6" priority="4" operator="between">
      <formula>1</formula>
      <formula>10</formula>
    </cfRule>
    <cfRule type="cellIs" dxfId="5" priority="5" operator="between">
      <formula>0.8</formula>
      <formula>0.999999</formula>
    </cfRule>
    <cfRule type="cellIs" dxfId="4" priority="6" operator="between">
      <formula>0.000001</formula>
      <formula>0.799999</formula>
    </cfRule>
  </conditionalFormatting>
  <conditionalFormatting sqref="K47">
    <cfRule type="cellIs" dxfId="3" priority="1" operator="between">
      <formula>1</formula>
      <formula>100</formula>
    </cfRule>
    <cfRule type="cellIs" dxfId="2" priority="2" operator="between">
      <formula>0.8</formula>
      <formula>0.999999</formula>
    </cfRule>
    <cfRule type="cellIs" dxfId="1" priority="3" operator="between">
      <formula>0.000001</formula>
      <formula>0.799999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autoPict="0" r:id="rId5">
            <anchor moveWithCells="1">
              <from>
                <xdr:col>14</xdr:col>
                <xdr:colOff>57150</xdr:colOff>
                <xdr:row>4</xdr:row>
                <xdr:rowOff>104775</xdr:rowOff>
              </from>
              <to>
                <xdr:col>15</xdr:col>
                <xdr:colOff>752475</xdr:colOff>
                <xdr:row>6</xdr:row>
                <xdr:rowOff>95250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CA4E9-E606-4BFB-A5D2-A3EAA511586B}">
  <sheetPr codeName="Sheet2"/>
  <dimension ref="B2:Q26"/>
  <sheetViews>
    <sheetView workbookViewId="0">
      <selection activeCell="D18" sqref="D18"/>
    </sheetView>
  </sheetViews>
  <sheetFormatPr defaultRowHeight="15" x14ac:dyDescent="0.25"/>
  <cols>
    <col min="1" max="2" width="9.140625" style="1"/>
    <col min="3" max="3" width="19" style="1" customWidth="1"/>
    <col min="4" max="4" width="10.85546875" style="1" bestFit="1" customWidth="1"/>
    <col min="5" max="5" width="10.7109375" style="1" bestFit="1" customWidth="1"/>
    <col min="6" max="6" width="9.140625" style="1"/>
    <col min="7" max="11" width="16.42578125" style="1" customWidth="1"/>
    <col min="12" max="12" width="9.140625" style="1"/>
    <col min="13" max="17" width="16.42578125" style="1" customWidth="1"/>
    <col min="18" max="16384" width="9.140625" style="1"/>
  </cols>
  <sheetData>
    <row r="2" spans="2:17" x14ac:dyDescent="0.25">
      <c r="B2" s="62" t="s">
        <v>51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4"/>
    </row>
    <row r="3" spans="2:17" x14ac:dyDescent="0.25">
      <c r="B3" s="65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7"/>
    </row>
    <row r="4" spans="2:17" x14ac:dyDescent="0.25">
      <c r="B4" s="68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70"/>
    </row>
    <row r="6" spans="2:17" x14ac:dyDescent="0.25">
      <c r="C6" s="28" t="s">
        <v>0</v>
      </c>
      <c r="D6" s="31" t="s">
        <v>32</v>
      </c>
      <c r="E6" s="27">
        <f>VLOOKUP(D6,Background!F2:G13,2,FALSE)</f>
        <v>44805</v>
      </c>
    </row>
    <row r="7" spans="2:17" x14ac:dyDescent="0.25">
      <c r="C7" s="29" t="s">
        <v>65</v>
      </c>
      <c r="D7" s="32">
        <f>E7-E6+1</f>
        <v>11</v>
      </c>
      <c r="E7" s="27">
        <v>44815</v>
      </c>
      <c r="M7"/>
    </row>
    <row r="8" spans="2:17" x14ac:dyDescent="0.25">
      <c r="C8" s="30" t="s">
        <v>1</v>
      </c>
      <c r="D8" s="33">
        <f>E8-E6+1</f>
        <v>30</v>
      </c>
      <c r="E8" s="27">
        <f>EOMONTH(E6,0)</f>
        <v>44834</v>
      </c>
    </row>
    <row r="10" spans="2:17" x14ac:dyDescent="0.25">
      <c r="G10" s="59" t="s">
        <v>8</v>
      </c>
      <c r="H10" s="60"/>
      <c r="I10" s="60"/>
      <c r="J10" s="60"/>
      <c r="K10" s="61"/>
    </row>
    <row r="11" spans="2:17" ht="30" customHeight="1" x14ac:dyDescent="0.25">
      <c r="G11" s="78" t="s">
        <v>58</v>
      </c>
      <c r="H11" s="79" t="s">
        <v>59</v>
      </c>
      <c r="I11" s="79" t="s">
        <v>60</v>
      </c>
      <c r="J11" s="79" t="s">
        <v>61</v>
      </c>
      <c r="K11" s="80" t="s">
        <v>63</v>
      </c>
    </row>
    <row r="12" spans="2:17" x14ac:dyDescent="0.25">
      <c r="G12" s="24">
        <v>120</v>
      </c>
      <c r="H12" s="15">
        <v>35</v>
      </c>
      <c r="I12" s="15">
        <v>100</v>
      </c>
      <c r="J12" s="15">
        <v>50</v>
      </c>
      <c r="K12" s="25">
        <v>35</v>
      </c>
    </row>
    <row r="15" spans="2:17" x14ac:dyDescent="0.25">
      <c r="B15" s="71" t="s">
        <v>6</v>
      </c>
      <c r="C15" s="72"/>
      <c r="D15" s="72"/>
      <c r="E15" s="73"/>
      <c r="G15" s="56" t="s">
        <v>37</v>
      </c>
      <c r="H15" s="57"/>
      <c r="I15" s="57"/>
      <c r="J15" s="57"/>
      <c r="K15" s="58"/>
      <c r="M15" s="56" t="s">
        <v>36</v>
      </c>
      <c r="N15" s="57"/>
      <c r="O15" s="57"/>
      <c r="P15" s="57"/>
      <c r="Q15" s="58"/>
    </row>
    <row r="16" spans="2:17" ht="30" x14ac:dyDescent="0.25">
      <c r="B16" s="8" t="s">
        <v>2</v>
      </c>
      <c r="C16" s="9" t="s">
        <v>3</v>
      </c>
      <c r="D16" s="26" t="s">
        <v>4</v>
      </c>
      <c r="E16" s="18" t="s">
        <v>5</v>
      </c>
      <c r="G16" s="78" t="s">
        <v>58</v>
      </c>
      <c r="H16" s="79" t="s">
        <v>59</v>
      </c>
      <c r="I16" s="79" t="s">
        <v>60</v>
      </c>
      <c r="J16" s="79" t="s">
        <v>61</v>
      </c>
      <c r="K16" s="80" t="s">
        <v>63</v>
      </c>
      <c r="M16" s="78" t="s">
        <v>58</v>
      </c>
      <c r="N16" s="79" t="s">
        <v>59</v>
      </c>
      <c r="O16" s="79" t="s">
        <v>60</v>
      </c>
      <c r="P16" s="79" t="s">
        <v>61</v>
      </c>
      <c r="Q16" s="80" t="s">
        <v>63</v>
      </c>
    </row>
    <row r="17" spans="2:17" x14ac:dyDescent="0.25">
      <c r="B17" s="2" t="s">
        <v>16</v>
      </c>
      <c r="C17" s="3" t="s">
        <v>11</v>
      </c>
      <c r="D17" s="10">
        <f>SUMIFS(Shifts!$E:$E,Shifts!$C:$C,$B17,Shifts!$B:$B,"&gt;="&amp;$E$6,Shifts!$B:$B,"&gt;="&amp;$E$7)</f>
        <v>16</v>
      </c>
      <c r="E17" s="11">
        <f>IF(D17="","",D17/$D$26)</f>
        <v>0.13114754098360656</v>
      </c>
      <c r="G17" s="19">
        <f>IF($B17="","",ROUNDUP((G$12*($D$7/$D$8))*$E17,0))</f>
        <v>6</v>
      </c>
      <c r="H17" s="13">
        <f>IF($B17="","",ROUNDUP((H$12*($D$7/$D$8))*$E17,0))</f>
        <v>2</v>
      </c>
      <c r="I17" s="13">
        <f>IF($B17="","",ROUNDUP((I$12*($D$7/$D$8))*$E17,0))</f>
        <v>5</v>
      </c>
      <c r="J17" s="13">
        <f>IF($B17="","",ROUNDUP((J$12*($D$7/$D$8))*$E17,0))</f>
        <v>3</v>
      </c>
      <c r="K17" s="20">
        <f>IF($B17="","",ROUNDUP((K$12*($D$7/$D$8))*$E17,0))</f>
        <v>2</v>
      </c>
      <c r="M17" s="19">
        <f>IF($B17="","",ROUNDUP(G$12*$E17,0))</f>
        <v>16</v>
      </c>
      <c r="N17" s="13">
        <f>IF($B17="","",ROUNDUP(H$12*$E17,0))</f>
        <v>5</v>
      </c>
      <c r="O17" s="13">
        <f>IF($B17="","",ROUNDUP(I$12*$E17,0))</f>
        <v>14</v>
      </c>
      <c r="P17" s="13">
        <f>IF($B17="","",ROUNDUP(J$12*$E17,0))</f>
        <v>7</v>
      </c>
      <c r="Q17" s="20">
        <f>IF($B17="","",ROUNDUP(K$12*$E17,0))</f>
        <v>5</v>
      </c>
    </row>
    <row r="18" spans="2:17" x14ac:dyDescent="0.25">
      <c r="B18" s="34" t="s">
        <v>17</v>
      </c>
      <c r="C18" s="35" t="s">
        <v>12</v>
      </c>
      <c r="D18" s="36">
        <f>SUMIFS(Shifts!$E:$E,Shifts!$C:$C,$B18,Shifts!$B:$B,"&gt;="&amp;$E$6,Shifts!$B:$B,"&gt;="&amp;$E$7)</f>
        <v>5</v>
      </c>
      <c r="E18" s="37">
        <f>IF(D18="","",D18/$D$26)</f>
        <v>4.0983606557377046E-2</v>
      </c>
      <c r="G18" s="38">
        <f>IF($B18="","",ROUNDUP((G$12*($D$7/$D$8))*$E18,0))</f>
        <v>2</v>
      </c>
      <c r="H18" s="36">
        <f>IF($B18="","",ROUNDUP((H$12*($D$7/$D$8))*$E18,0))</f>
        <v>1</v>
      </c>
      <c r="I18" s="36">
        <f>IF($B18="","",ROUNDUP((I$12*($D$7/$D$8))*$E18,0))</f>
        <v>2</v>
      </c>
      <c r="J18" s="36">
        <f>IF($B18="","",ROUNDUP((J$12*($D$7/$D$8))*$E18,0))</f>
        <v>1</v>
      </c>
      <c r="K18" s="39">
        <f>IF($B18="","",ROUNDUP((K$12*($D$7/$D$8))*$E18,0))</f>
        <v>1</v>
      </c>
      <c r="M18" s="38">
        <f>IF($B18="","",ROUNDUP(G$12*$E18,0))</f>
        <v>5</v>
      </c>
      <c r="N18" s="36">
        <f>IF($B18="","",ROUNDUP(H$12*$E18,0))</f>
        <v>2</v>
      </c>
      <c r="O18" s="36">
        <f>IF($B18="","",ROUNDUP(I$12*$E18,0))</f>
        <v>5</v>
      </c>
      <c r="P18" s="36">
        <f>IF($B18="","",ROUNDUP(J$12*$E18,0))</f>
        <v>3</v>
      </c>
      <c r="Q18" s="39">
        <f>IF($B18="","",ROUNDUP(K$12*$E18,0))</f>
        <v>2</v>
      </c>
    </row>
    <row r="19" spans="2:17" x14ac:dyDescent="0.25">
      <c r="B19" s="12" t="s">
        <v>18</v>
      </c>
      <c r="C19" s="1" t="s">
        <v>13</v>
      </c>
      <c r="D19" s="13">
        <f>SUMIFS(Shifts!$E:$E,Shifts!$C:$C,$B19,Shifts!$B:$B,"&gt;="&amp;$E$6,Shifts!$B:$B,"&gt;="&amp;$E$7)</f>
        <v>32</v>
      </c>
      <c r="E19" s="14">
        <f>IF(D19="","",D19/$D$26)</f>
        <v>0.26229508196721313</v>
      </c>
      <c r="G19" s="19">
        <f>IF($B19="","",ROUNDUP((G$12*($D$7/$D$8))*$E19,0))</f>
        <v>12</v>
      </c>
      <c r="H19" s="13">
        <f>IF($B19="","",ROUNDUP((H$12*($D$7/$D$8))*$E19,0))</f>
        <v>4</v>
      </c>
      <c r="I19" s="13">
        <f>IF($B19="","",ROUNDUP((I$12*($D$7/$D$8))*$E19,0))</f>
        <v>10</v>
      </c>
      <c r="J19" s="13">
        <f>IF($B19="","",ROUNDUP((J$12*($D$7/$D$8))*$E19,0))</f>
        <v>5</v>
      </c>
      <c r="K19" s="20">
        <f>IF($B19="","",ROUNDUP((K$12*($D$7/$D$8))*$E19,0))</f>
        <v>4</v>
      </c>
      <c r="M19" s="19">
        <f>IF($B19="","",ROUNDUP(G$12*$E19,0))</f>
        <v>32</v>
      </c>
      <c r="N19" s="13">
        <f>IF($B19="","",ROUNDUP(H$12*$E19,0))</f>
        <v>10</v>
      </c>
      <c r="O19" s="13">
        <f>IF($B19="","",ROUNDUP(I$12*$E19,0))</f>
        <v>27</v>
      </c>
      <c r="P19" s="13">
        <f>IF($B19="","",ROUNDUP(J$12*$E19,0))</f>
        <v>14</v>
      </c>
      <c r="Q19" s="20">
        <f>IF($B19="","",ROUNDUP(K$12*$E19,0))</f>
        <v>10</v>
      </c>
    </row>
    <row r="20" spans="2:17" x14ac:dyDescent="0.25">
      <c r="B20" s="34" t="s">
        <v>19</v>
      </c>
      <c r="C20" s="35" t="s">
        <v>14</v>
      </c>
      <c r="D20" s="36">
        <f>SUMIFS(Shifts!$E:$E,Shifts!$C:$C,$B20,Shifts!$B:$B,"&gt;="&amp;$E$6,Shifts!$B:$B,"&gt;="&amp;$E$7)</f>
        <v>13</v>
      </c>
      <c r="E20" s="37">
        <f>IF(D20="","",D20/$D$26)</f>
        <v>0.10655737704918032</v>
      </c>
      <c r="G20" s="38">
        <f>IF($B20="","",ROUNDUP((G$12*($D$7/$D$8))*$E20,0))</f>
        <v>5</v>
      </c>
      <c r="H20" s="36">
        <f>IF($B20="","",ROUNDUP((H$12*($D$7/$D$8))*$E20,0))</f>
        <v>2</v>
      </c>
      <c r="I20" s="36">
        <f>IF($B20="","",ROUNDUP((I$12*($D$7/$D$8))*$E20,0))</f>
        <v>4</v>
      </c>
      <c r="J20" s="36">
        <f>IF($B20="","",ROUNDUP((J$12*($D$7/$D$8))*$E20,0))</f>
        <v>2</v>
      </c>
      <c r="K20" s="39">
        <f>IF($B20="","",ROUNDUP((K$12*($D$7/$D$8))*$E20,0))</f>
        <v>2</v>
      </c>
      <c r="M20" s="38">
        <f>IF($B20="","",ROUNDUP(G$12*$E20,0))</f>
        <v>13</v>
      </c>
      <c r="N20" s="36">
        <f>IF($B20="","",ROUNDUP(H$12*$E20,0))</f>
        <v>4</v>
      </c>
      <c r="O20" s="36">
        <f>IF($B20="","",ROUNDUP(I$12*$E20,0))</f>
        <v>11</v>
      </c>
      <c r="P20" s="36">
        <f>IF($B20="","",ROUNDUP(J$12*$E20,0))</f>
        <v>6</v>
      </c>
      <c r="Q20" s="39">
        <f>IF($B20="","",ROUNDUP(K$12*$E20,0))</f>
        <v>4</v>
      </c>
    </row>
    <row r="21" spans="2:17" x14ac:dyDescent="0.25">
      <c r="B21" s="12" t="s">
        <v>20</v>
      </c>
      <c r="C21" s="1" t="s">
        <v>15</v>
      </c>
      <c r="D21" s="13">
        <f>SUMIFS(Shifts!$E:$E,Shifts!$C:$C,$B21,Shifts!$B:$B,"&gt;="&amp;$E$6,Shifts!$B:$B,"&gt;="&amp;$E$7)</f>
        <v>24</v>
      </c>
      <c r="E21" s="14">
        <f>IF(D21="","",D21/$D$26)</f>
        <v>0.19672131147540983</v>
      </c>
      <c r="G21" s="19">
        <f>IF($B21="","",ROUNDUP((G$12*($D$7/$D$8))*$E21,0))</f>
        <v>9</v>
      </c>
      <c r="H21" s="13">
        <f>IF($B21="","",ROUNDUP((H$12*($D$7/$D$8))*$E21,0))</f>
        <v>3</v>
      </c>
      <c r="I21" s="13">
        <f>IF($B21="","",ROUNDUP((I$12*($D$7/$D$8))*$E21,0))</f>
        <v>8</v>
      </c>
      <c r="J21" s="13">
        <f>IF($B21="","",ROUNDUP((J$12*($D$7/$D$8))*$E21,0))</f>
        <v>4</v>
      </c>
      <c r="K21" s="20">
        <f>IF($B21="","",ROUNDUP((K$12*($D$7/$D$8))*$E21,0))</f>
        <v>3</v>
      </c>
      <c r="M21" s="19">
        <f>IF($B21="","",ROUNDUP(G$12*$E21,0))</f>
        <v>24</v>
      </c>
      <c r="N21" s="13">
        <f>IF($B21="","",ROUNDUP(H$12*$E21,0))</f>
        <v>7</v>
      </c>
      <c r="O21" s="13">
        <f>IF($B21="","",ROUNDUP(I$12*$E21,0))</f>
        <v>20</v>
      </c>
      <c r="P21" s="13">
        <f>IF($B21="","",ROUNDUP(J$12*$E21,0))</f>
        <v>10</v>
      </c>
      <c r="Q21" s="20">
        <f>IF($B21="","",ROUNDUP(K$12*$E21,0))</f>
        <v>7</v>
      </c>
    </row>
    <row r="22" spans="2:17" x14ac:dyDescent="0.25">
      <c r="B22" s="34" t="s">
        <v>21</v>
      </c>
      <c r="C22" s="35" t="s">
        <v>22</v>
      </c>
      <c r="D22" s="36">
        <f>SUMIFS(Shifts!$E:$E,Shifts!$C:$C,$B22,Shifts!$B:$B,"&gt;="&amp;$E$6,Shifts!$B:$B,"&gt;="&amp;$E$7)</f>
        <v>32</v>
      </c>
      <c r="E22" s="37">
        <f>IF(D22="","",D22/$D$26)</f>
        <v>0.26229508196721313</v>
      </c>
      <c r="G22" s="38">
        <f>IF($B22="","",ROUNDUP((G$12*($D$7/$D$8))*$E22,0))</f>
        <v>12</v>
      </c>
      <c r="H22" s="36">
        <f>IF($B22="","",ROUNDUP((H$12*($D$7/$D$8))*$E22,0))</f>
        <v>4</v>
      </c>
      <c r="I22" s="36">
        <f>IF($B22="","",ROUNDUP((I$12*($D$7/$D$8))*$E22,0))</f>
        <v>10</v>
      </c>
      <c r="J22" s="36">
        <f>IF($B22="","",ROUNDUP((J$12*($D$7/$D$8))*$E22,0))</f>
        <v>5</v>
      </c>
      <c r="K22" s="39">
        <f>IF($B22="","",ROUNDUP((K$12*($D$7/$D$8))*$E22,0))</f>
        <v>4</v>
      </c>
      <c r="M22" s="38">
        <f>IF($B22="","",ROUNDUP(G$12*$E22,0))</f>
        <v>32</v>
      </c>
      <c r="N22" s="36">
        <f>IF($B22="","",ROUNDUP(H$12*$E22,0))</f>
        <v>10</v>
      </c>
      <c r="O22" s="36">
        <f>IF($B22="","",ROUNDUP(I$12*$E22,0))</f>
        <v>27</v>
      </c>
      <c r="P22" s="36">
        <f>IF($B22="","",ROUNDUP(J$12*$E22,0))</f>
        <v>14</v>
      </c>
      <c r="Q22" s="39">
        <f>IF($B22="","",ROUNDUP(K$12*$E22,0))</f>
        <v>10</v>
      </c>
    </row>
    <row r="23" spans="2:17" hidden="1" x14ac:dyDescent="0.25">
      <c r="B23" s="12"/>
      <c r="D23" s="13"/>
      <c r="E23" s="14" t="str">
        <f>IF(D23="","",D23/$D$26)</f>
        <v/>
      </c>
      <c r="G23" s="19" t="str">
        <f>IF($B23="","",ROUNDUP((G$12*($D$7/$D$8))*$E23,0))</f>
        <v/>
      </c>
      <c r="H23" s="13" t="str">
        <f>IF($B23="","",ROUNDUP((H$12*($D$7/$D$8))*$E23,0))</f>
        <v/>
      </c>
      <c r="I23" s="13" t="str">
        <f>IF($B23="","",ROUNDUP((I$12*($D$7/$D$8))*$E23,0))</f>
        <v/>
      </c>
      <c r="J23" s="13" t="str">
        <f>IF($B23="","",ROUNDUP((J$12*($D$7/$D$8))*$E23,0))</f>
        <v/>
      </c>
      <c r="K23" s="20" t="str">
        <f>IF($B23="","",ROUNDUP((K$12*($D$7/$D$8))*$E23,0))</f>
        <v/>
      </c>
      <c r="M23" s="19" t="str">
        <f>IF($B23="","",ROUNDUP(G$12*$E23,0))</f>
        <v/>
      </c>
      <c r="N23" s="13" t="str">
        <f>IF($B23="","",ROUNDUP(H$12*$E23,0))</f>
        <v/>
      </c>
      <c r="O23" s="13" t="str">
        <f>IF($B23="","",ROUNDUP(I$12*$E23,0))</f>
        <v/>
      </c>
      <c r="P23" s="13" t="str">
        <f>IF($B23="","",ROUNDUP(J$12*$E23,0))</f>
        <v/>
      </c>
      <c r="Q23" s="20" t="str">
        <f>IF($B23="","",ROUNDUP(K$12*$E23,0))</f>
        <v/>
      </c>
    </row>
    <row r="24" spans="2:17" hidden="1" x14ac:dyDescent="0.25">
      <c r="B24" s="34"/>
      <c r="C24" s="35"/>
      <c r="D24" s="36"/>
      <c r="E24" s="37" t="str">
        <f>IF(D24="","",D24/$D$26)</f>
        <v/>
      </c>
      <c r="G24" s="38" t="str">
        <f>IF($B24="","",ROUNDUP((G$12*($D$7/$D$8))*$E24,0))</f>
        <v/>
      </c>
      <c r="H24" s="36" t="str">
        <f>IF($B24="","",ROUNDUP((H$12*($D$7/$D$8))*$E24,0))</f>
        <v/>
      </c>
      <c r="I24" s="36" t="str">
        <f>IF($B24="","",ROUNDUP((I$12*($D$7/$D$8))*$E24,0))</f>
        <v/>
      </c>
      <c r="J24" s="36" t="str">
        <f>IF($B24="","",ROUNDUP((J$12*($D$7/$D$8))*$E24,0))</f>
        <v/>
      </c>
      <c r="K24" s="39" t="str">
        <f>IF($B24="","",ROUNDUP((K$12*($D$7/$D$8))*$E24,0))</f>
        <v/>
      </c>
      <c r="M24" s="38" t="str">
        <f>IF($B24="","",ROUNDUP(G$12*$E24,0))</f>
        <v/>
      </c>
      <c r="N24" s="36" t="str">
        <f>IF($B24="","",ROUNDUP(H$12*$E24,0))</f>
        <v/>
      </c>
      <c r="O24" s="36" t="str">
        <f>IF($B24="","",ROUNDUP(I$12*$E24,0))</f>
        <v/>
      </c>
      <c r="P24" s="36" t="str">
        <f>IF($B24="","",ROUNDUP(J$12*$E24,0))</f>
        <v/>
      </c>
      <c r="Q24" s="39" t="str">
        <f>IF($B24="","",ROUNDUP(K$12*$E24,0))</f>
        <v/>
      </c>
    </row>
    <row r="25" spans="2:17" hidden="1" x14ac:dyDescent="0.25">
      <c r="B25" s="4"/>
      <c r="C25" s="5"/>
      <c r="D25" s="15"/>
      <c r="E25" s="16" t="str">
        <f>IF(D25="","",D25/$D$26)</f>
        <v/>
      </c>
      <c r="G25" s="24" t="str">
        <f>IF($B25="","",ROUNDUP((G$12*($D$7/$D$8))*$E25,0))</f>
        <v/>
      </c>
      <c r="H25" s="15" t="str">
        <f>IF($B25="","",ROUNDUP((H$12*($D$7/$D$8))*$E25,0))</f>
        <v/>
      </c>
      <c r="I25" s="15" t="str">
        <f>IF($B25="","",ROUNDUP((I$12*($D$7/$D$8))*$E25,0))</f>
        <v/>
      </c>
      <c r="J25" s="15" t="str">
        <f>IF($B25="","",ROUNDUP((J$12*($D$7/$D$8))*$E25,0))</f>
        <v/>
      </c>
      <c r="K25" s="25" t="str">
        <f>IF($B25="","",ROUNDUP((K$12*($D$7/$D$8))*$E25,0))</f>
        <v/>
      </c>
      <c r="M25" s="24" t="str">
        <f>IF($B25="","",ROUNDUP(G$12*$E25,0))</f>
        <v/>
      </c>
      <c r="N25" s="15" t="str">
        <f>IF($B25="","",ROUNDUP(H$12*$E25,0))</f>
        <v/>
      </c>
      <c r="O25" s="15" t="str">
        <f>IF($B25="","",ROUNDUP(I$12*$E25,0))</f>
        <v/>
      </c>
      <c r="P25" s="15" t="str">
        <f>IF($B25="","",ROUNDUP(J$12*$E25,0))</f>
        <v/>
      </c>
      <c r="Q25" s="25" t="str">
        <f>IF($B25="","",ROUNDUP(K$12*$E25,0))</f>
        <v/>
      </c>
    </row>
    <row r="26" spans="2:17" x14ac:dyDescent="0.25">
      <c r="B26" s="8"/>
      <c r="C26" s="9" t="s">
        <v>7</v>
      </c>
      <c r="D26" s="17">
        <f>SUM(D17:D25)</f>
        <v>122</v>
      </c>
      <c r="E26" s="18"/>
      <c r="G26" s="41">
        <f>SUM(G17:G25)</f>
        <v>46</v>
      </c>
      <c r="H26" s="42">
        <f t="shared" ref="H26:K26" si="0">SUM(H17:H25)</f>
        <v>16</v>
      </c>
      <c r="I26" s="42">
        <f t="shared" si="0"/>
        <v>39</v>
      </c>
      <c r="J26" s="42">
        <f t="shared" si="0"/>
        <v>20</v>
      </c>
      <c r="K26" s="43">
        <f t="shared" si="0"/>
        <v>16</v>
      </c>
      <c r="M26" s="21"/>
      <c r="N26" s="22"/>
      <c r="O26" s="22"/>
      <c r="P26" s="42"/>
      <c r="Q26" s="23"/>
    </row>
  </sheetData>
  <mergeCells count="4">
    <mergeCell ref="G15:K15"/>
    <mergeCell ref="M15:Q15"/>
    <mergeCell ref="G10:K10"/>
    <mergeCell ref="B2:Q4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C6C3B4-A77A-4BDC-BF24-8DA14624F556}">
          <x14:formula1>
            <xm:f>Background!$F$2:$F$13</xm:f>
          </x14:formula1>
          <xm:sqref>D6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D5CBC-EC70-4BFB-934D-A995075A054B}">
  <sheetPr codeName="Sheet4"/>
  <dimension ref="A1:G1002"/>
  <sheetViews>
    <sheetView showGridLines="0" workbookViewId="0">
      <selection activeCell="C23" sqref="C23"/>
    </sheetView>
  </sheetViews>
  <sheetFormatPr defaultRowHeight="15" x14ac:dyDescent="0.25"/>
  <cols>
    <col min="1" max="1" width="10.7109375" style="7" customWidth="1"/>
    <col min="2" max="2" width="10" customWidth="1"/>
    <col min="3" max="3" width="20.28515625" customWidth="1"/>
    <col min="4" max="4" width="37.140625" style="75" bestFit="1" customWidth="1"/>
    <col min="5" max="5" width="10.85546875" style="52" customWidth="1"/>
    <col min="6" max="6" width="32.5703125" customWidth="1"/>
    <col min="7" max="7" width="13.42578125" style="54" bestFit="1" customWidth="1"/>
    <col min="8" max="16384" width="9.140625" style="1"/>
  </cols>
  <sheetData>
    <row r="1" spans="1:7" x14ac:dyDescent="0.25">
      <c r="A1" s="49" t="s">
        <v>9</v>
      </c>
      <c r="B1" s="50" t="s">
        <v>38</v>
      </c>
      <c r="C1" s="50" t="s">
        <v>39</v>
      </c>
      <c r="D1" s="74" t="s">
        <v>40</v>
      </c>
      <c r="E1" s="51" t="s">
        <v>42</v>
      </c>
      <c r="F1" s="50" t="s">
        <v>41</v>
      </c>
      <c r="G1" s="53" t="s">
        <v>57</v>
      </c>
    </row>
    <row r="2" spans="1:7" x14ac:dyDescent="0.25">
      <c r="A2" s="7">
        <v>44805</v>
      </c>
      <c r="B2" t="str">
        <f>IF(C2="","",VLOOKUP(C2,Background!$C$2:$D$7,2,FALSE))</f>
        <v>E5138</v>
      </c>
      <c r="C2" t="s">
        <v>15</v>
      </c>
      <c r="D2" s="75" t="s">
        <v>52</v>
      </c>
      <c r="E2" s="52">
        <v>1</v>
      </c>
      <c r="G2" s="77">
        <f>IF(Transactions[[#This Row],[Quantity]]="","",Transactions[[#This Row],[Quantity]]*VLOOKUP(Transactions[[#This Row],[Product]],Background!$I$2:$J$6,2,FALSE))</f>
        <v>300</v>
      </c>
    </row>
    <row r="3" spans="1:7" x14ac:dyDescent="0.25">
      <c r="A3" s="7">
        <v>44805</v>
      </c>
      <c r="B3" t="str">
        <f>IF(C3="","",VLOOKUP(C3,Background!$C$2:$D$7,2,FALSE))</f>
        <v>E4105</v>
      </c>
      <c r="C3" t="s">
        <v>11</v>
      </c>
      <c r="D3" s="75" t="s">
        <v>52</v>
      </c>
      <c r="E3" s="52">
        <v>1</v>
      </c>
      <c r="G3" s="77">
        <f>IF(Transactions[[#This Row],[Quantity]]="","",Transactions[[#This Row],[Quantity]]*VLOOKUP(Transactions[[#This Row],[Product]],Background!$I$2:$J$6,2,FALSE))</f>
        <v>300</v>
      </c>
    </row>
    <row r="4" spans="1:7" x14ac:dyDescent="0.25">
      <c r="A4" s="7">
        <v>44805</v>
      </c>
      <c r="B4" t="str">
        <f>IF(C4="","",VLOOKUP(C4,Background!$C$2:$D$7,2,FALSE))</f>
        <v>E5138</v>
      </c>
      <c r="C4" t="s">
        <v>15</v>
      </c>
      <c r="D4" s="75" t="s">
        <v>54</v>
      </c>
      <c r="E4" s="52">
        <v>2</v>
      </c>
      <c r="G4" s="77">
        <f>IF(Transactions[[#This Row],[Quantity]]="","",Transactions[[#This Row],[Quantity]]*VLOOKUP(Transactions[[#This Row],[Product]],Background!$I$2:$J$6,2,FALSE))</f>
        <v>8000</v>
      </c>
    </row>
    <row r="5" spans="1:7" x14ac:dyDescent="0.25">
      <c r="A5" s="7">
        <v>44805</v>
      </c>
      <c r="B5" t="str">
        <f>IF(C5="","",VLOOKUP(C5,Background!$C$2:$D$7,2,FALSE))</f>
        <v>E4105</v>
      </c>
      <c r="C5" t="s">
        <v>11</v>
      </c>
      <c r="D5" s="75" t="s">
        <v>62</v>
      </c>
      <c r="E5" s="52">
        <v>1</v>
      </c>
      <c r="G5" s="77">
        <f>IF(Transactions[[#This Row],[Quantity]]="","",Transactions[[#This Row],[Quantity]]*VLOOKUP(Transactions[[#This Row],[Product]],Background!$I$2:$J$6,2,FALSE))</f>
        <v>200</v>
      </c>
    </row>
    <row r="6" spans="1:7" x14ac:dyDescent="0.25">
      <c r="A6" s="7">
        <v>44805</v>
      </c>
      <c r="B6" t="str">
        <f>IF(C6="","",VLOOKUP(C6,Background!$C$2:$D$7,2,FALSE))</f>
        <v>E5138</v>
      </c>
      <c r="C6" t="s">
        <v>15</v>
      </c>
      <c r="D6" s="75" t="s">
        <v>55</v>
      </c>
      <c r="E6" s="52">
        <v>1</v>
      </c>
      <c r="G6" s="77">
        <f>IF(Transactions[[#This Row],[Quantity]]="","",Transactions[[#This Row],[Quantity]]*VLOOKUP(Transactions[[#This Row],[Product]],Background!$I$2:$J$6,2,FALSE))</f>
        <v>400</v>
      </c>
    </row>
    <row r="7" spans="1:7" x14ac:dyDescent="0.25">
      <c r="A7" s="7">
        <v>44805</v>
      </c>
      <c r="B7" t="str">
        <f>IF(C7="","",VLOOKUP(C7,Background!$C$2:$D$7,2,FALSE))</f>
        <v>E4177</v>
      </c>
      <c r="C7" t="s">
        <v>14</v>
      </c>
      <c r="D7" s="75" t="s">
        <v>52</v>
      </c>
      <c r="E7" s="52">
        <v>2</v>
      </c>
      <c r="G7" s="77">
        <f>IF(Transactions[[#This Row],[Quantity]]="","",Transactions[[#This Row],[Quantity]]*VLOOKUP(Transactions[[#This Row],[Product]],Background!$I$2:$J$6,2,FALSE))</f>
        <v>600</v>
      </c>
    </row>
    <row r="8" spans="1:7" x14ac:dyDescent="0.25">
      <c r="A8" s="7">
        <v>44805</v>
      </c>
      <c r="B8" t="str">
        <f>IF(C8="","",VLOOKUP(C8,Background!$C$2:$D$7,2,FALSE))</f>
        <v>E4105</v>
      </c>
      <c r="C8" t="s">
        <v>11</v>
      </c>
      <c r="D8" s="75" t="s">
        <v>54</v>
      </c>
      <c r="E8" s="52">
        <v>1</v>
      </c>
      <c r="G8" s="77">
        <f>IF(Transactions[[#This Row],[Quantity]]="","",Transactions[[#This Row],[Quantity]]*VLOOKUP(Transactions[[#This Row],[Product]],Background!$I$2:$J$6,2,FALSE))</f>
        <v>4000</v>
      </c>
    </row>
    <row r="9" spans="1:7" x14ac:dyDescent="0.25">
      <c r="A9" s="7">
        <v>44806</v>
      </c>
      <c r="B9" t="str">
        <f>IF(C9="","",VLOOKUP(C9,Background!$C$2:$D$7,2,FALSE))</f>
        <v>E3642</v>
      </c>
      <c r="C9" t="s">
        <v>12</v>
      </c>
      <c r="D9" s="75" t="s">
        <v>53</v>
      </c>
      <c r="E9" s="52">
        <v>1</v>
      </c>
      <c r="G9" s="77">
        <f>IF(Transactions[[#This Row],[Quantity]]="","",Transactions[[#This Row],[Quantity]]*VLOOKUP(Transactions[[#This Row],[Product]],Background!$I$2:$J$6,2,FALSE))</f>
        <v>2500</v>
      </c>
    </row>
    <row r="10" spans="1:7" x14ac:dyDescent="0.25">
      <c r="A10" s="7">
        <v>44806</v>
      </c>
      <c r="B10" t="str">
        <f>IF(C10="","",VLOOKUP(C10,Background!$C$2:$D$7,2,FALSE))</f>
        <v>E4105</v>
      </c>
      <c r="C10" t="s">
        <v>11</v>
      </c>
      <c r="D10" s="75" t="s">
        <v>54</v>
      </c>
      <c r="E10" s="52">
        <v>2</v>
      </c>
      <c r="G10" s="77">
        <f>IF(Transactions[[#This Row],[Quantity]]="","",Transactions[[#This Row],[Quantity]]*VLOOKUP(Transactions[[#This Row],[Product]],Background!$I$2:$J$6,2,FALSE))</f>
        <v>8000</v>
      </c>
    </row>
    <row r="11" spans="1:7" x14ac:dyDescent="0.25">
      <c r="A11" s="7">
        <v>44806</v>
      </c>
      <c r="B11" t="str">
        <f>IF(C11="","",VLOOKUP(C11,Background!$C$2:$D$7,2,FALSE))</f>
        <v>E4105</v>
      </c>
      <c r="C11" t="s">
        <v>11</v>
      </c>
      <c r="D11" s="75" t="s">
        <v>55</v>
      </c>
      <c r="E11" s="52">
        <v>2</v>
      </c>
      <c r="G11" s="77">
        <f>IF(Transactions[[#This Row],[Quantity]]="","",Transactions[[#This Row],[Quantity]]*VLOOKUP(Transactions[[#This Row],[Product]],Background!$I$2:$J$6,2,FALSE))</f>
        <v>800</v>
      </c>
    </row>
    <row r="12" spans="1:7" x14ac:dyDescent="0.25">
      <c r="A12" s="7">
        <v>44806</v>
      </c>
      <c r="B12" t="str">
        <f>IF(C12="","",VLOOKUP(C12,Background!$C$2:$D$7,2,FALSE))</f>
        <v>E4177</v>
      </c>
      <c r="C12" t="s">
        <v>14</v>
      </c>
      <c r="D12" s="75" t="s">
        <v>52</v>
      </c>
      <c r="E12" s="52">
        <v>1</v>
      </c>
      <c r="G12" s="77">
        <f>IF(Transactions[[#This Row],[Quantity]]="","",Transactions[[#This Row],[Quantity]]*VLOOKUP(Transactions[[#This Row],[Product]],Background!$I$2:$J$6,2,FALSE))</f>
        <v>300</v>
      </c>
    </row>
    <row r="13" spans="1:7" x14ac:dyDescent="0.25">
      <c r="A13" s="7">
        <v>44806</v>
      </c>
      <c r="B13" t="str">
        <f>IF(C13="","",VLOOKUP(C13,Background!$C$2:$D$7,2,FALSE))</f>
        <v>E3642</v>
      </c>
      <c r="C13" t="s">
        <v>12</v>
      </c>
      <c r="D13" s="75" t="s">
        <v>62</v>
      </c>
      <c r="E13" s="52">
        <v>1</v>
      </c>
      <c r="G13" s="77">
        <f>IF(Transactions[[#This Row],[Quantity]]="","",Transactions[[#This Row],[Quantity]]*VLOOKUP(Transactions[[#This Row],[Product]],Background!$I$2:$J$6,2,FALSE))</f>
        <v>200</v>
      </c>
    </row>
    <row r="14" spans="1:7" x14ac:dyDescent="0.25">
      <c r="A14" s="7">
        <v>44806</v>
      </c>
      <c r="B14" t="str">
        <f>IF(C14="","",VLOOKUP(C14,Background!$C$2:$D$7,2,FALSE))</f>
        <v>E3897</v>
      </c>
      <c r="C14" t="s">
        <v>22</v>
      </c>
      <c r="D14" s="75" t="s">
        <v>52</v>
      </c>
      <c r="E14" s="52">
        <v>1</v>
      </c>
      <c r="G14" s="77">
        <f>IF(Transactions[[#This Row],[Quantity]]="","",Transactions[[#This Row],[Quantity]]*VLOOKUP(Transactions[[#This Row],[Product]],Background!$I$2:$J$6,2,FALSE))</f>
        <v>300</v>
      </c>
    </row>
    <row r="15" spans="1:7" x14ac:dyDescent="0.25">
      <c r="A15" s="7">
        <v>44806</v>
      </c>
      <c r="B15" t="str">
        <f>IF(C15="","",VLOOKUP(C15,Background!$C$2:$D$7,2,FALSE))</f>
        <v>E4177</v>
      </c>
      <c r="C15" t="s">
        <v>14</v>
      </c>
      <c r="D15" s="75" t="s">
        <v>54</v>
      </c>
      <c r="E15" s="52">
        <v>3</v>
      </c>
      <c r="G15" s="77">
        <f>IF(Transactions[[#This Row],[Quantity]]="","",Transactions[[#This Row],[Quantity]]*VLOOKUP(Transactions[[#This Row],[Product]],Background!$I$2:$J$6,2,FALSE))</f>
        <v>12000</v>
      </c>
    </row>
    <row r="16" spans="1:7" x14ac:dyDescent="0.25">
      <c r="A16" s="7">
        <v>44807</v>
      </c>
      <c r="B16" t="str">
        <f>IF(C16="","",VLOOKUP(C16,Background!$C$2:$D$7,2,FALSE))</f>
        <v>E3897</v>
      </c>
      <c r="C16" t="s">
        <v>22</v>
      </c>
      <c r="D16" s="75" t="s">
        <v>54</v>
      </c>
      <c r="E16" s="52">
        <v>2</v>
      </c>
      <c r="G16" s="77">
        <f>IF(Transactions[[#This Row],[Quantity]]="","",Transactions[[#This Row],[Quantity]]*VLOOKUP(Transactions[[#This Row],[Product]],Background!$I$2:$J$6,2,FALSE))</f>
        <v>8000</v>
      </c>
    </row>
    <row r="17" spans="1:7" x14ac:dyDescent="0.25">
      <c r="A17" s="7">
        <v>44807</v>
      </c>
      <c r="B17" t="str">
        <f>IF(C17="","",VLOOKUP(C17,Background!$C$2:$D$7,2,FALSE))</f>
        <v>E4105</v>
      </c>
      <c r="C17" t="s">
        <v>11</v>
      </c>
      <c r="D17" s="75" t="s">
        <v>55</v>
      </c>
      <c r="E17" s="52">
        <v>1</v>
      </c>
      <c r="G17" s="77">
        <f>IF(Transactions[[#This Row],[Quantity]]="","",Transactions[[#This Row],[Quantity]]*VLOOKUP(Transactions[[#This Row],[Product]],Background!$I$2:$J$6,2,FALSE))</f>
        <v>400</v>
      </c>
    </row>
    <row r="18" spans="1:7" x14ac:dyDescent="0.25">
      <c r="A18" s="7">
        <v>44807</v>
      </c>
      <c r="B18" t="str">
        <f>IF(C18="","",VLOOKUP(C18,Background!$C$2:$D$7,2,FALSE))</f>
        <v>E4177</v>
      </c>
      <c r="C18" t="s">
        <v>14</v>
      </c>
      <c r="D18" s="75" t="s">
        <v>52</v>
      </c>
      <c r="E18" s="52">
        <v>2</v>
      </c>
      <c r="G18" s="77">
        <f>IF(Transactions[[#This Row],[Quantity]]="","",Transactions[[#This Row],[Quantity]]*VLOOKUP(Transactions[[#This Row],[Product]],Background!$I$2:$J$6,2,FALSE))</f>
        <v>600</v>
      </c>
    </row>
    <row r="19" spans="1:7" x14ac:dyDescent="0.25">
      <c r="A19" s="7">
        <v>44807</v>
      </c>
      <c r="B19" t="str">
        <f>IF(C19="","",VLOOKUP(C19,Background!$C$2:$D$7,2,FALSE))</f>
        <v>E3642</v>
      </c>
      <c r="C19" t="s">
        <v>12</v>
      </c>
      <c r="D19" s="75" t="s">
        <v>55</v>
      </c>
      <c r="E19" s="52">
        <v>1</v>
      </c>
      <c r="G19" s="77">
        <f>IF(Transactions[[#This Row],[Quantity]]="","",Transactions[[#This Row],[Quantity]]*VLOOKUP(Transactions[[#This Row],[Product]],Background!$I$2:$J$6,2,FALSE))</f>
        <v>400</v>
      </c>
    </row>
    <row r="20" spans="1:7" x14ac:dyDescent="0.25">
      <c r="A20" s="7">
        <v>44808</v>
      </c>
      <c r="B20" t="str">
        <f>IF(C20="","",VLOOKUP(C20,Background!$C$2:$D$7,2,FALSE))</f>
        <v>E5138</v>
      </c>
      <c r="C20" t="s">
        <v>15</v>
      </c>
      <c r="D20" s="75" t="s">
        <v>52</v>
      </c>
      <c r="E20" s="52">
        <v>1</v>
      </c>
      <c r="G20" s="77">
        <f>IF(Transactions[[#This Row],[Quantity]]="","",Transactions[[#This Row],[Quantity]]*VLOOKUP(Transactions[[#This Row],[Product]],Background!$I$2:$J$6,2,FALSE))</f>
        <v>300</v>
      </c>
    </row>
    <row r="21" spans="1:7" x14ac:dyDescent="0.25">
      <c r="A21" s="7">
        <v>44807</v>
      </c>
      <c r="B21" t="str">
        <f>IF(C21="","",VLOOKUP(C21,Background!$C$2:$D$7,2,FALSE))</f>
        <v>E5138</v>
      </c>
      <c r="C21" t="s">
        <v>15</v>
      </c>
      <c r="D21" s="75" t="s">
        <v>52</v>
      </c>
      <c r="E21" s="52">
        <v>2</v>
      </c>
      <c r="G21" s="77">
        <f>IF(Transactions[[#This Row],[Quantity]]="","",Transactions[[#This Row],[Quantity]]*VLOOKUP(Transactions[[#This Row],[Product]],Background!$I$2:$J$6,2,FALSE))</f>
        <v>600</v>
      </c>
    </row>
    <row r="22" spans="1:7" x14ac:dyDescent="0.25">
      <c r="A22" s="7">
        <v>44807</v>
      </c>
      <c r="B22" t="str">
        <f>IF(C22="","",VLOOKUP(C22,Background!$C$2:$D$7,2,FALSE))</f>
        <v>E4177</v>
      </c>
      <c r="C22" t="s">
        <v>14</v>
      </c>
      <c r="D22" s="75" t="s">
        <v>53</v>
      </c>
      <c r="E22" s="52">
        <v>2</v>
      </c>
      <c r="G22" s="77">
        <f>IF(Transactions[[#This Row],[Quantity]]="","",Transactions[[#This Row],[Quantity]]*VLOOKUP(Transactions[[#This Row],[Product]],Background!$I$2:$J$6,2,FALSE))</f>
        <v>5000</v>
      </c>
    </row>
    <row r="23" spans="1:7" x14ac:dyDescent="0.25">
      <c r="A23" s="7">
        <v>44808</v>
      </c>
      <c r="B23" t="str">
        <f>IF(C23="","",VLOOKUP(C23,Background!$C$2:$D$7,2,FALSE))</f>
        <v>E5138</v>
      </c>
      <c r="C23" t="s">
        <v>15</v>
      </c>
      <c r="D23" s="75" t="s">
        <v>52</v>
      </c>
      <c r="E23" s="52">
        <v>1</v>
      </c>
      <c r="G23" s="77">
        <f>IF(Transactions[[#This Row],[Quantity]]="","",Transactions[[#This Row],[Quantity]]*VLOOKUP(Transactions[[#This Row],[Product]],Background!$I$2:$J$6,2,FALSE))</f>
        <v>300</v>
      </c>
    </row>
    <row r="24" spans="1:7" x14ac:dyDescent="0.25">
      <c r="A24" s="7">
        <v>44813</v>
      </c>
      <c r="B24" t="str">
        <f>IF(C24="","",VLOOKUP(C24,Background!$C$2:$D$7,2,FALSE))</f>
        <v>E5138</v>
      </c>
      <c r="C24" t="s">
        <v>15</v>
      </c>
      <c r="D24" s="75" t="s">
        <v>54</v>
      </c>
      <c r="E24" s="52">
        <v>1</v>
      </c>
      <c r="G24" s="77">
        <f>IF(Transactions[[#This Row],[Quantity]]="","",Transactions[[#This Row],[Quantity]]*VLOOKUP(Transactions[[#This Row],[Product]],Background!$I$2:$J$6,2,FALSE))</f>
        <v>4000</v>
      </c>
    </row>
    <row r="25" spans="1:7" x14ac:dyDescent="0.25">
      <c r="A25" s="7">
        <v>44813</v>
      </c>
      <c r="B25" t="str">
        <f>IF(C25="","",VLOOKUP(C25,Background!$C$2:$D$7,2,FALSE))</f>
        <v>E3642</v>
      </c>
      <c r="C25" t="s">
        <v>12</v>
      </c>
      <c r="D25" s="75" t="s">
        <v>52</v>
      </c>
      <c r="E25" s="52">
        <v>1</v>
      </c>
      <c r="G25" s="77">
        <f>IF(Transactions[[#This Row],[Quantity]]="","",Transactions[[#This Row],[Quantity]]*VLOOKUP(Transactions[[#This Row],[Product]],Background!$I$2:$J$6,2,FALSE))</f>
        <v>300</v>
      </c>
    </row>
    <row r="26" spans="1:7" x14ac:dyDescent="0.25">
      <c r="A26" s="7">
        <v>44807</v>
      </c>
      <c r="B26" t="str">
        <f>IF(C26="","",VLOOKUP(C26,Background!$C$2:$D$7,2,FALSE))</f>
        <v>E3897</v>
      </c>
      <c r="C26" t="s">
        <v>22</v>
      </c>
      <c r="D26" s="75" t="s">
        <v>53</v>
      </c>
      <c r="E26" s="52">
        <v>2</v>
      </c>
      <c r="G26" s="77">
        <f>IF(Transactions[[#This Row],[Quantity]]="","",Transactions[[#This Row],[Quantity]]*VLOOKUP(Transactions[[#This Row],[Product]],Background!$I$2:$J$6,2,FALSE))</f>
        <v>5000</v>
      </c>
    </row>
    <row r="27" spans="1:7" x14ac:dyDescent="0.25">
      <c r="A27" s="7">
        <v>44808</v>
      </c>
      <c r="B27" t="str">
        <f>IF(C27="","",VLOOKUP(C27,Background!$C$2:$D$7,2,FALSE))</f>
        <v>E4105</v>
      </c>
      <c r="C27" t="s">
        <v>11</v>
      </c>
      <c r="D27" s="75" t="s">
        <v>62</v>
      </c>
      <c r="E27" s="52">
        <v>1</v>
      </c>
      <c r="G27" s="77">
        <f>IF(Transactions[[#This Row],[Quantity]]="","",Transactions[[#This Row],[Quantity]]*VLOOKUP(Transactions[[#This Row],[Product]],Background!$I$2:$J$6,2,FALSE))</f>
        <v>200</v>
      </c>
    </row>
    <row r="28" spans="1:7" x14ac:dyDescent="0.25">
      <c r="A28" s="7">
        <v>44813</v>
      </c>
      <c r="B28" t="str">
        <f>IF(C28="","",VLOOKUP(C28,Background!$C$2:$D$7,2,FALSE))</f>
        <v>E3642</v>
      </c>
      <c r="C28" t="s">
        <v>12</v>
      </c>
      <c r="D28" s="75" t="s">
        <v>54</v>
      </c>
      <c r="E28" s="52">
        <v>2</v>
      </c>
      <c r="G28" s="77">
        <f>IF(Transactions[[#This Row],[Quantity]]="","",Transactions[[#This Row],[Quantity]]*VLOOKUP(Transactions[[#This Row],[Product]],Background!$I$2:$J$6,2,FALSE))</f>
        <v>8000</v>
      </c>
    </row>
    <row r="29" spans="1:7" x14ac:dyDescent="0.25">
      <c r="A29" s="7">
        <v>44808</v>
      </c>
      <c r="B29" t="str">
        <f>IF(C29="","",VLOOKUP(C29,Background!$C$2:$D$7,2,FALSE))</f>
        <v>E3897</v>
      </c>
      <c r="C29" t="s">
        <v>22</v>
      </c>
      <c r="D29" s="75" t="s">
        <v>52</v>
      </c>
      <c r="E29" s="52">
        <v>1</v>
      </c>
      <c r="G29" s="77">
        <f>IF(Transactions[[#This Row],[Quantity]]="","",Transactions[[#This Row],[Quantity]]*VLOOKUP(Transactions[[#This Row],[Product]],Background!$I$2:$J$6,2,FALSE))</f>
        <v>300</v>
      </c>
    </row>
    <row r="30" spans="1:7" x14ac:dyDescent="0.25">
      <c r="A30" s="7">
        <v>44808</v>
      </c>
      <c r="B30" t="str">
        <f>IF(C30="","",VLOOKUP(C30,Background!$C$2:$D$7,2,FALSE))</f>
        <v>E3897</v>
      </c>
      <c r="C30" t="s">
        <v>22</v>
      </c>
      <c r="D30" s="75" t="s">
        <v>52</v>
      </c>
      <c r="E30" s="52">
        <v>1</v>
      </c>
      <c r="G30" s="77">
        <f>IF(Transactions[[#This Row],[Quantity]]="","",Transactions[[#This Row],[Quantity]]*VLOOKUP(Transactions[[#This Row],[Product]],Background!$I$2:$J$6,2,FALSE))</f>
        <v>300</v>
      </c>
    </row>
    <row r="31" spans="1:7" x14ac:dyDescent="0.25">
      <c r="A31" s="7">
        <v>44814</v>
      </c>
      <c r="B31" t="str">
        <f>IF(C31="","",VLOOKUP(C31,Background!$C$2:$D$7,2,FALSE))</f>
        <v>E5138</v>
      </c>
      <c r="C31" t="s">
        <v>15</v>
      </c>
      <c r="D31" s="75" t="s">
        <v>52</v>
      </c>
      <c r="E31" s="52">
        <v>1</v>
      </c>
      <c r="G31" s="77">
        <f>IF(Transactions[[#This Row],[Quantity]]="","",Transactions[[#This Row],[Quantity]]*VLOOKUP(Transactions[[#This Row],[Product]],Background!$I$2:$J$6,2,FALSE))</f>
        <v>300</v>
      </c>
    </row>
    <row r="32" spans="1:7" x14ac:dyDescent="0.25">
      <c r="A32" s="7">
        <v>44808</v>
      </c>
      <c r="B32" t="str">
        <f>IF(C32="","",VLOOKUP(C32,Background!$C$2:$D$7,2,FALSE))</f>
        <v>E4105</v>
      </c>
      <c r="C32" t="s">
        <v>11</v>
      </c>
      <c r="D32" s="75" t="s">
        <v>53</v>
      </c>
      <c r="E32" s="52">
        <v>2</v>
      </c>
      <c r="G32" s="77">
        <f>IF(Transactions[[#This Row],[Quantity]]="","",Transactions[[#This Row],[Quantity]]*VLOOKUP(Transactions[[#This Row],[Product]],Background!$I$2:$J$6,2,FALSE))</f>
        <v>5000</v>
      </c>
    </row>
    <row r="33" spans="1:7" x14ac:dyDescent="0.25">
      <c r="A33" s="7">
        <v>44808</v>
      </c>
      <c r="B33" t="str">
        <f>IF(C33="","",VLOOKUP(C33,Background!$C$2:$D$7,2,FALSE))</f>
        <v>E3897</v>
      </c>
      <c r="C33" t="s">
        <v>22</v>
      </c>
      <c r="D33" s="75" t="s">
        <v>55</v>
      </c>
      <c r="E33" s="52">
        <v>1</v>
      </c>
      <c r="G33" s="77">
        <f>IF(Transactions[[#This Row],[Quantity]]="","",Transactions[[#This Row],[Quantity]]*VLOOKUP(Transactions[[#This Row],[Product]],Background!$I$2:$J$6,2,FALSE))</f>
        <v>400</v>
      </c>
    </row>
    <row r="34" spans="1:7" x14ac:dyDescent="0.25">
      <c r="A34" s="7">
        <v>44814</v>
      </c>
      <c r="B34" t="str">
        <f>IF(C34="","",VLOOKUP(C34,Background!$C$2:$D$7,2,FALSE))</f>
        <v>E5138</v>
      </c>
      <c r="C34" t="s">
        <v>15</v>
      </c>
      <c r="D34" s="75" t="s">
        <v>52</v>
      </c>
      <c r="E34" s="52">
        <v>1</v>
      </c>
      <c r="G34" s="77">
        <f>IF(Transactions[[#This Row],[Quantity]]="","",Transactions[[#This Row],[Quantity]]*VLOOKUP(Transactions[[#This Row],[Product]],Background!$I$2:$J$6,2,FALSE))</f>
        <v>300</v>
      </c>
    </row>
    <row r="35" spans="1:7" x14ac:dyDescent="0.25">
      <c r="A35" s="7">
        <v>44808</v>
      </c>
      <c r="B35" t="str">
        <f>IF(C35="","",VLOOKUP(C35,Background!$C$2:$D$7,2,FALSE))</f>
        <v>E3897</v>
      </c>
      <c r="C35" t="s">
        <v>22</v>
      </c>
      <c r="D35" s="75" t="s">
        <v>53</v>
      </c>
      <c r="E35" s="52">
        <v>1</v>
      </c>
      <c r="G35" s="77">
        <f>IF(Transactions[[#This Row],[Quantity]]="","",Transactions[[#This Row],[Quantity]]*VLOOKUP(Transactions[[#This Row],[Product]],Background!$I$2:$J$6,2,FALSE))</f>
        <v>2500</v>
      </c>
    </row>
    <row r="36" spans="1:7" x14ac:dyDescent="0.25">
      <c r="A36" s="7">
        <v>44815</v>
      </c>
      <c r="B36" t="str">
        <f>IF(C36="","",VLOOKUP(C36,Background!$C$2:$D$7,2,FALSE))</f>
        <v>E5138</v>
      </c>
      <c r="C36" t="s">
        <v>15</v>
      </c>
      <c r="D36" s="75" t="s">
        <v>54</v>
      </c>
      <c r="E36" s="52">
        <v>1</v>
      </c>
      <c r="G36" s="77">
        <f>IF(Transactions[[#This Row],[Quantity]]="","",Transactions[[#This Row],[Quantity]]*VLOOKUP(Transactions[[#This Row],[Product]],Background!$I$2:$J$6,2,FALSE))</f>
        <v>4000</v>
      </c>
    </row>
    <row r="37" spans="1:7" x14ac:dyDescent="0.25">
      <c r="A37" s="7">
        <v>44808</v>
      </c>
      <c r="B37" t="str">
        <f>IF(C37="","",VLOOKUP(C37,Background!$C$2:$D$7,2,FALSE))</f>
        <v>E3897</v>
      </c>
      <c r="C37" t="s">
        <v>22</v>
      </c>
      <c r="D37" s="75" t="s">
        <v>62</v>
      </c>
      <c r="E37" s="52">
        <v>1</v>
      </c>
      <c r="G37" s="77">
        <f>IF(Transactions[[#This Row],[Quantity]]="","",Transactions[[#This Row],[Quantity]]*VLOOKUP(Transactions[[#This Row],[Product]],Background!$I$2:$J$6,2,FALSE))</f>
        <v>200</v>
      </c>
    </row>
    <row r="38" spans="1:7" x14ac:dyDescent="0.25">
      <c r="A38" s="7">
        <v>44807</v>
      </c>
      <c r="B38" t="str">
        <f>IF(C38="","",VLOOKUP(C38,Background!$C$2:$D$7,2,FALSE))</f>
        <v>E5523</v>
      </c>
      <c r="C38" t="s">
        <v>13</v>
      </c>
      <c r="D38" s="75" t="s">
        <v>54</v>
      </c>
      <c r="E38" s="52">
        <v>2</v>
      </c>
      <c r="G38" s="77">
        <f>IF(Transactions[[#This Row],[Quantity]]="","",Transactions[[#This Row],[Quantity]]*VLOOKUP(Transactions[[#This Row],[Product]],Background!$I$2:$J$6,2,FALSE))</f>
        <v>8000</v>
      </c>
    </row>
    <row r="39" spans="1:7" x14ac:dyDescent="0.25">
      <c r="A39" s="7">
        <v>44808</v>
      </c>
      <c r="B39" t="str">
        <f>IF(C39="","",VLOOKUP(C39,Background!$C$2:$D$7,2,FALSE))</f>
        <v>E3897</v>
      </c>
      <c r="C39" t="s">
        <v>22</v>
      </c>
      <c r="D39" s="75" t="s">
        <v>52</v>
      </c>
      <c r="E39" s="52">
        <v>1</v>
      </c>
      <c r="G39" s="77">
        <f>IF(Transactions[[#This Row],[Quantity]]="","",Transactions[[#This Row],[Quantity]]*VLOOKUP(Transactions[[#This Row],[Product]],Background!$I$2:$J$6,2,FALSE))</f>
        <v>300</v>
      </c>
    </row>
    <row r="40" spans="1:7" x14ac:dyDescent="0.25">
      <c r="A40" s="7">
        <v>44808</v>
      </c>
      <c r="B40" t="str">
        <f>IF(C40="","",VLOOKUP(C40,Background!$C$2:$D$7,2,FALSE))</f>
        <v>E3897</v>
      </c>
      <c r="C40" t="s">
        <v>22</v>
      </c>
      <c r="D40" s="75" t="s">
        <v>54</v>
      </c>
      <c r="E40" s="52">
        <v>1</v>
      </c>
      <c r="G40" s="77">
        <f>IF(Transactions[[#This Row],[Quantity]]="","",Transactions[[#This Row],[Quantity]]*VLOOKUP(Transactions[[#This Row],[Product]],Background!$I$2:$J$6,2,FALSE))</f>
        <v>4000</v>
      </c>
    </row>
    <row r="41" spans="1:7" x14ac:dyDescent="0.25">
      <c r="A41" s="7">
        <v>44807</v>
      </c>
      <c r="B41" t="str">
        <f>IF(C41="","",VLOOKUP(C41,Background!$C$2:$D$7,2,FALSE))</f>
        <v>E5523</v>
      </c>
      <c r="C41" t="s">
        <v>13</v>
      </c>
      <c r="D41" s="75" t="s">
        <v>55</v>
      </c>
      <c r="E41" s="52">
        <v>2</v>
      </c>
      <c r="G41" s="77">
        <f>IF(Transactions[[#This Row],[Quantity]]="","",Transactions[[#This Row],[Quantity]]*VLOOKUP(Transactions[[#This Row],[Product]],Background!$I$2:$J$6,2,FALSE))</f>
        <v>800</v>
      </c>
    </row>
    <row r="42" spans="1:7" x14ac:dyDescent="0.25">
      <c r="A42" s="7">
        <v>44809</v>
      </c>
      <c r="B42" t="str">
        <f>IF(C42="","",VLOOKUP(C42,Background!$C$2:$D$7,2,FALSE))</f>
        <v>E5138</v>
      </c>
      <c r="C42" t="s">
        <v>15</v>
      </c>
      <c r="D42" s="75" t="s">
        <v>55</v>
      </c>
      <c r="E42" s="52">
        <v>1</v>
      </c>
      <c r="G42" s="77">
        <f>IF(Transactions[[#This Row],[Quantity]]="","",Transactions[[#This Row],[Quantity]]*VLOOKUP(Transactions[[#This Row],[Product]],Background!$I$2:$J$6,2,FALSE))</f>
        <v>400</v>
      </c>
    </row>
    <row r="43" spans="1:7" x14ac:dyDescent="0.25">
      <c r="A43" s="7">
        <v>44809</v>
      </c>
      <c r="B43" t="str">
        <f>IF(C43="","",VLOOKUP(C43,Background!$C$2:$D$7,2,FALSE))</f>
        <v>E3897</v>
      </c>
      <c r="C43" t="s">
        <v>22</v>
      </c>
      <c r="D43" s="75" t="s">
        <v>52</v>
      </c>
      <c r="E43" s="52">
        <v>2</v>
      </c>
      <c r="G43" s="77">
        <f>IF(Transactions[[#This Row],[Quantity]]="","",Transactions[[#This Row],[Quantity]]*VLOOKUP(Transactions[[#This Row],[Product]],Background!$I$2:$J$6,2,FALSE))</f>
        <v>600</v>
      </c>
    </row>
    <row r="44" spans="1:7" x14ac:dyDescent="0.25">
      <c r="A44" s="7">
        <v>44807</v>
      </c>
      <c r="B44" t="str">
        <f>IF(C44="","",VLOOKUP(C44,Background!$C$2:$D$7,2,FALSE))</f>
        <v>E5523</v>
      </c>
      <c r="C44" t="s">
        <v>13</v>
      </c>
      <c r="D44" s="75" t="s">
        <v>54</v>
      </c>
      <c r="E44" s="52">
        <v>2</v>
      </c>
      <c r="G44" s="77">
        <f>IF(Transactions[[#This Row],[Quantity]]="","",Transactions[[#This Row],[Quantity]]*VLOOKUP(Transactions[[#This Row],[Product]],Background!$I$2:$J$6,2,FALSE))</f>
        <v>8000</v>
      </c>
    </row>
    <row r="45" spans="1:7" x14ac:dyDescent="0.25">
      <c r="A45" s="7">
        <v>44807</v>
      </c>
      <c r="B45" t="str">
        <f>IF(C45="","",VLOOKUP(C45,Background!$C$2:$D$7,2,FALSE))</f>
        <v>E5523</v>
      </c>
      <c r="C45" t="s">
        <v>13</v>
      </c>
      <c r="D45" s="75" t="s">
        <v>62</v>
      </c>
      <c r="E45" s="52">
        <v>1</v>
      </c>
      <c r="G45" s="77">
        <f>IF(Transactions[[#This Row],[Quantity]]="","",Transactions[[#This Row],[Quantity]]*VLOOKUP(Transactions[[#This Row],[Product]],Background!$I$2:$J$6,2,FALSE))</f>
        <v>200</v>
      </c>
    </row>
    <row r="46" spans="1:7" x14ac:dyDescent="0.25">
      <c r="A46" s="7">
        <v>44809</v>
      </c>
      <c r="B46" t="str">
        <f>IF(C46="","",VLOOKUP(C46,Background!$C$2:$D$7,2,FALSE))</f>
        <v>E5138</v>
      </c>
      <c r="C46" t="s">
        <v>15</v>
      </c>
      <c r="D46" s="75" t="s">
        <v>54</v>
      </c>
      <c r="E46" s="52">
        <v>1</v>
      </c>
      <c r="G46" s="77">
        <f>IF(Transactions[[#This Row],[Quantity]]="","",Transactions[[#This Row],[Quantity]]*VLOOKUP(Transactions[[#This Row],[Product]],Background!$I$2:$J$6,2,FALSE))</f>
        <v>4000</v>
      </c>
    </row>
    <row r="47" spans="1:7" x14ac:dyDescent="0.25">
      <c r="A47" s="7">
        <v>44809</v>
      </c>
      <c r="B47" t="str">
        <f>IF(C47="","",VLOOKUP(C47,Background!$C$2:$D$7,2,FALSE))</f>
        <v>E5138</v>
      </c>
      <c r="C47" t="s">
        <v>15</v>
      </c>
      <c r="D47" s="75" t="s">
        <v>55</v>
      </c>
      <c r="E47" s="52">
        <v>1</v>
      </c>
      <c r="G47" s="77">
        <f>IF(Transactions[[#This Row],[Quantity]]="","",Transactions[[#This Row],[Quantity]]*VLOOKUP(Transactions[[#This Row],[Product]],Background!$I$2:$J$6,2,FALSE))</f>
        <v>400</v>
      </c>
    </row>
    <row r="48" spans="1:7" x14ac:dyDescent="0.25">
      <c r="A48" s="7">
        <v>44809</v>
      </c>
      <c r="B48" t="str">
        <f>IF(C48="","",VLOOKUP(C48,Background!$C$2:$D$7,2,FALSE))</f>
        <v>E3897</v>
      </c>
      <c r="C48" t="s">
        <v>22</v>
      </c>
      <c r="D48" s="75" t="s">
        <v>52</v>
      </c>
      <c r="E48" s="52">
        <v>2</v>
      </c>
      <c r="G48" s="77">
        <f>IF(Transactions[[#This Row],[Quantity]]="","",Transactions[[#This Row],[Quantity]]*VLOOKUP(Transactions[[#This Row],[Product]],Background!$I$2:$J$6,2,FALSE))</f>
        <v>600</v>
      </c>
    </row>
    <row r="49" spans="1:7" x14ac:dyDescent="0.25">
      <c r="A49" s="7">
        <v>44809</v>
      </c>
      <c r="B49" t="str">
        <f>IF(C49="","",VLOOKUP(C49,Background!$C$2:$D$7,2,FALSE))</f>
        <v>E3897</v>
      </c>
      <c r="C49" t="s">
        <v>22</v>
      </c>
      <c r="D49" s="75" t="s">
        <v>62</v>
      </c>
      <c r="E49" s="52">
        <v>1</v>
      </c>
      <c r="G49" s="77">
        <f>IF(Transactions[[#This Row],[Quantity]]="","",Transactions[[#This Row],[Quantity]]*VLOOKUP(Transactions[[#This Row],[Product]],Background!$I$2:$J$6,2,FALSE))</f>
        <v>200</v>
      </c>
    </row>
    <row r="50" spans="1:7" x14ac:dyDescent="0.25">
      <c r="A50" s="7">
        <v>44809</v>
      </c>
      <c r="B50" t="str">
        <f>IF(C50="","",VLOOKUP(C50,Background!$C$2:$D$7,2,FALSE))</f>
        <v>E3897</v>
      </c>
      <c r="C50" t="s">
        <v>22</v>
      </c>
      <c r="D50" s="75" t="s">
        <v>52</v>
      </c>
      <c r="E50" s="52">
        <v>2</v>
      </c>
      <c r="G50" s="77">
        <f>IF(Transactions[[#This Row],[Quantity]]="","",Transactions[[#This Row],[Quantity]]*VLOOKUP(Transactions[[#This Row],[Product]],Background!$I$2:$J$6,2,FALSE))</f>
        <v>600</v>
      </c>
    </row>
    <row r="51" spans="1:7" x14ac:dyDescent="0.25">
      <c r="A51" s="7">
        <v>44809</v>
      </c>
      <c r="B51" t="str">
        <f>IF(C51="","",VLOOKUP(C51,Background!$C$2:$D$7,2,FALSE))</f>
        <v>E3897</v>
      </c>
      <c r="C51" t="s">
        <v>22</v>
      </c>
      <c r="D51" s="75" t="s">
        <v>54</v>
      </c>
      <c r="E51" s="52">
        <v>1</v>
      </c>
      <c r="G51" s="77">
        <f>IF(Transactions[[#This Row],[Quantity]]="","",Transactions[[#This Row],[Quantity]]*VLOOKUP(Transactions[[#This Row],[Product]],Background!$I$2:$J$6,2,FALSE))</f>
        <v>4000</v>
      </c>
    </row>
    <row r="52" spans="1:7" x14ac:dyDescent="0.25">
      <c r="A52" s="7">
        <v>44808</v>
      </c>
      <c r="B52" t="str">
        <f>IF(C52="","",VLOOKUP(C52,Background!$C$2:$D$7,2,FALSE))</f>
        <v>E5523</v>
      </c>
      <c r="C52" t="s">
        <v>13</v>
      </c>
      <c r="D52" s="75" t="s">
        <v>54</v>
      </c>
      <c r="E52" s="52">
        <v>1</v>
      </c>
      <c r="G52" s="77">
        <f>IF(Transactions[[#This Row],[Quantity]]="","",Transactions[[#This Row],[Quantity]]*VLOOKUP(Transactions[[#This Row],[Product]],Background!$I$2:$J$6,2,FALSE))</f>
        <v>4000</v>
      </c>
    </row>
    <row r="53" spans="1:7" x14ac:dyDescent="0.25">
      <c r="A53" s="7">
        <v>44808</v>
      </c>
      <c r="B53" t="str">
        <f>IF(C53="","",VLOOKUP(C53,Background!$C$2:$D$7,2,FALSE))</f>
        <v>E5523</v>
      </c>
      <c r="C53" t="s">
        <v>13</v>
      </c>
      <c r="D53" s="75" t="s">
        <v>54</v>
      </c>
      <c r="E53" s="52">
        <v>2</v>
      </c>
      <c r="G53" s="77">
        <f>IF(Transactions[[#This Row],[Quantity]]="","",Transactions[[#This Row],[Quantity]]*VLOOKUP(Transactions[[#This Row],[Product]],Background!$I$2:$J$6,2,FALSE))</f>
        <v>8000</v>
      </c>
    </row>
    <row r="54" spans="1:7" x14ac:dyDescent="0.25">
      <c r="A54" s="7">
        <v>44809</v>
      </c>
      <c r="B54" t="str">
        <f>IF(C54="","",VLOOKUP(C54,Background!$C$2:$D$7,2,FALSE))</f>
        <v>E4105</v>
      </c>
      <c r="C54" t="s">
        <v>11</v>
      </c>
      <c r="D54" s="75" t="s">
        <v>52</v>
      </c>
      <c r="E54" s="52">
        <v>1</v>
      </c>
      <c r="G54" s="77">
        <f>IF(Transactions[[#This Row],[Quantity]]="","",Transactions[[#This Row],[Quantity]]*VLOOKUP(Transactions[[#This Row],[Product]],Background!$I$2:$J$6,2,FALSE))</f>
        <v>300</v>
      </c>
    </row>
    <row r="55" spans="1:7" x14ac:dyDescent="0.25">
      <c r="A55" s="7">
        <v>44810</v>
      </c>
      <c r="B55" t="str">
        <f>IF(C55="","",VLOOKUP(C55,Background!$C$2:$D$7,2,FALSE))</f>
        <v>E4177</v>
      </c>
      <c r="C55" t="s">
        <v>14</v>
      </c>
      <c r="D55" s="75" t="s">
        <v>54</v>
      </c>
      <c r="E55" s="52">
        <v>1</v>
      </c>
      <c r="G55" s="77">
        <f>IF(Transactions[[#This Row],[Quantity]]="","",Transactions[[#This Row],[Quantity]]*VLOOKUP(Transactions[[#This Row],[Product]],Background!$I$2:$J$6,2,FALSE))</f>
        <v>4000</v>
      </c>
    </row>
    <row r="56" spans="1:7" x14ac:dyDescent="0.25">
      <c r="A56" s="7">
        <v>44808</v>
      </c>
      <c r="B56" t="str">
        <f>IF(C56="","",VLOOKUP(C56,Background!$C$2:$D$7,2,FALSE))</f>
        <v>E5523</v>
      </c>
      <c r="C56" t="s">
        <v>13</v>
      </c>
      <c r="D56" s="75" t="s">
        <v>54</v>
      </c>
      <c r="E56" s="52">
        <v>1</v>
      </c>
      <c r="G56" s="77">
        <f>IF(Transactions[[#This Row],[Quantity]]="","",Transactions[[#This Row],[Quantity]]*VLOOKUP(Transactions[[#This Row],[Product]],Background!$I$2:$J$6,2,FALSE))</f>
        <v>4000</v>
      </c>
    </row>
    <row r="57" spans="1:7" x14ac:dyDescent="0.25">
      <c r="A57" s="7">
        <v>44810</v>
      </c>
      <c r="B57" t="str">
        <f>IF(C57="","",VLOOKUP(C57,Background!$C$2:$D$7,2,FALSE))</f>
        <v>E3897</v>
      </c>
      <c r="C57" t="s">
        <v>22</v>
      </c>
      <c r="D57" s="75" t="s">
        <v>52</v>
      </c>
      <c r="E57" s="52">
        <v>2</v>
      </c>
      <c r="G57" s="77">
        <f>IF(Transactions[[#This Row],[Quantity]]="","",Transactions[[#This Row],[Quantity]]*VLOOKUP(Transactions[[#This Row],[Product]],Background!$I$2:$J$6,2,FALSE))</f>
        <v>600</v>
      </c>
    </row>
    <row r="58" spans="1:7" x14ac:dyDescent="0.25">
      <c r="A58" s="7">
        <v>44810</v>
      </c>
      <c r="B58" t="str">
        <f>IF(C58="","",VLOOKUP(C58,Background!$C$2:$D$7,2,FALSE))</f>
        <v>E5138</v>
      </c>
      <c r="C58" t="s">
        <v>15</v>
      </c>
      <c r="D58" s="75" t="s">
        <v>53</v>
      </c>
      <c r="E58" s="52">
        <v>3</v>
      </c>
      <c r="G58" s="77">
        <f>IF(Transactions[[#This Row],[Quantity]]="","",Transactions[[#This Row],[Quantity]]*VLOOKUP(Transactions[[#This Row],[Product]],Background!$I$2:$J$6,2,FALSE))</f>
        <v>7500</v>
      </c>
    </row>
    <row r="59" spans="1:7" x14ac:dyDescent="0.25">
      <c r="A59" s="7">
        <v>44810</v>
      </c>
      <c r="B59" t="str">
        <f>IF(C59="","",VLOOKUP(C59,Background!$C$2:$D$7,2,FALSE))</f>
        <v>E3897</v>
      </c>
      <c r="C59" t="s">
        <v>22</v>
      </c>
      <c r="D59" s="75" t="s">
        <v>54</v>
      </c>
      <c r="E59" s="52">
        <v>1</v>
      </c>
      <c r="G59" s="77">
        <f>IF(Transactions[[#This Row],[Quantity]]="","",Transactions[[#This Row],[Quantity]]*VLOOKUP(Transactions[[#This Row],[Product]],Background!$I$2:$J$6,2,FALSE))</f>
        <v>4000</v>
      </c>
    </row>
    <row r="60" spans="1:7" x14ac:dyDescent="0.25">
      <c r="A60" s="7">
        <v>44810</v>
      </c>
      <c r="B60" t="str">
        <f>IF(C60="","",VLOOKUP(C60,Background!$C$2:$D$7,2,FALSE))</f>
        <v>E5138</v>
      </c>
      <c r="C60" t="s">
        <v>15</v>
      </c>
      <c r="D60" s="75" t="s">
        <v>62</v>
      </c>
      <c r="E60" s="52">
        <v>1</v>
      </c>
      <c r="G60" s="77">
        <f>IF(Transactions[[#This Row],[Quantity]]="","",Transactions[[#This Row],[Quantity]]*VLOOKUP(Transactions[[#This Row],[Product]],Background!$I$2:$J$6,2,FALSE))</f>
        <v>200</v>
      </c>
    </row>
    <row r="61" spans="1:7" x14ac:dyDescent="0.25">
      <c r="A61" s="7">
        <v>44808</v>
      </c>
      <c r="B61" t="str">
        <f>IF(C61="","",VLOOKUP(C61,Background!$C$2:$D$7,2,FALSE))</f>
        <v>E5523</v>
      </c>
      <c r="C61" t="s">
        <v>13</v>
      </c>
      <c r="D61" s="75" t="s">
        <v>62</v>
      </c>
      <c r="E61" s="52">
        <v>1</v>
      </c>
      <c r="G61" s="77">
        <f>IF(Transactions[[#This Row],[Quantity]]="","",Transactions[[#This Row],[Quantity]]*VLOOKUP(Transactions[[#This Row],[Product]],Background!$I$2:$J$6,2,FALSE))</f>
        <v>200</v>
      </c>
    </row>
    <row r="62" spans="1:7" x14ac:dyDescent="0.25">
      <c r="A62" s="7">
        <v>44811</v>
      </c>
      <c r="B62" t="str">
        <f>IF(C62="","",VLOOKUP(C62,Background!$C$2:$D$7,2,FALSE))</f>
        <v>E4177</v>
      </c>
      <c r="C62" t="s">
        <v>14</v>
      </c>
      <c r="D62" s="75" t="s">
        <v>53</v>
      </c>
      <c r="E62" s="52">
        <v>1</v>
      </c>
      <c r="G62" s="77">
        <f>IF(Transactions[[#This Row],[Quantity]]="","",Transactions[[#This Row],[Quantity]]*VLOOKUP(Transactions[[#This Row],[Product]],Background!$I$2:$J$6,2,FALSE))</f>
        <v>2500</v>
      </c>
    </row>
    <row r="63" spans="1:7" x14ac:dyDescent="0.25">
      <c r="A63" s="7">
        <v>44809</v>
      </c>
      <c r="B63" t="str">
        <f>IF(C63="","",VLOOKUP(C63,Background!$C$2:$D$7,2,FALSE))</f>
        <v>E5523</v>
      </c>
      <c r="C63" t="s">
        <v>13</v>
      </c>
      <c r="D63" s="75" t="s">
        <v>54</v>
      </c>
      <c r="E63" s="52">
        <v>1</v>
      </c>
      <c r="G63" s="77">
        <f>IF(Transactions[[#This Row],[Quantity]]="","",Transactions[[#This Row],[Quantity]]*VLOOKUP(Transactions[[#This Row],[Product]],Background!$I$2:$J$6,2,FALSE))</f>
        <v>4000</v>
      </c>
    </row>
    <row r="64" spans="1:7" x14ac:dyDescent="0.25">
      <c r="A64" s="7">
        <v>44811</v>
      </c>
      <c r="B64" t="str">
        <f>IF(C64="","",VLOOKUP(C64,Background!$C$2:$D$7,2,FALSE))</f>
        <v>E3897</v>
      </c>
      <c r="C64" t="s">
        <v>22</v>
      </c>
      <c r="D64" s="75" t="s">
        <v>54</v>
      </c>
      <c r="E64" s="52">
        <v>2</v>
      </c>
      <c r="G64" s="77">
        <f>IF(Transactions[[#This Row],[Quantity]]="","",Transactions[[#This Row],[Quantity]]*VLOOKUP(Transactions[[#This Row],[Product]],Background!$I$2:$J$6,2,FALSE))</f>
        <v>8000</v>
      </c>
    </row>
    <row r="65" spans="1:7" x14ac:dyDescent="0.25">
      <c r="A65" s="7">
        <v>44811</v>
      </c>
      <c r="B65" t="str">
        <f>IF(C65="","",VLOOKUP(C65,Background!$C$2:$D$7,2,FALSE))</f>
        <v>E5138</v>
      </c>
      <c r="C65" t="s">
        <v>15</v>
      </c>
      <c r="D65" s="75" t="s">
        <v>52</v>
      </c>
      <c r="E65" s="52">
        <v>1</v>
      </c>
      <c r="G65" s="77">
        <f>IF(Transactions[[#This Row],[Quantity]]="","",Transactions[[#This Row],[Quantity]]*VLOOKUP(Transactions[[#This Row],[Product]],Background!$I$2:$J$6,2,FALSE))</f>
        <v>300</v>
      </c>
    </row>
    <row r="66" spans="1:7" x14ac:dyDescent="0.25">
      <c r="A66" s="7">
        <v>44811</v>
      </c>
      <c r="B66" t="str">
        <f>IF(C66="","",VLOOKUP(C66,Background!$C$2:$D$7,2,FALSE))</f>
        <v>E3897</v>
      </c>
      <c r="C66" t="s">
        <v>22</v>
      </c>
      <c r="D66" s="75" t="s">
        <v>52</v>
      </c>
      <c r="E66" s="52">
        <v>1</v>
      </c>
      <c r="G66" s="77">
        <f>IF(Transactions[[#This Row],[Quantity]]="","",Transactions[[#This Row],[Quantity]]*VLOOKUP(Transactions[[#This Row],[Product]],Background!$I$2:$J$6,2,FALSE))</f>
        <v>300</v>
      </c>
    </row>
    <row r="67" spans="1:7" x14ac:dyDescent="0.25">
      <c r="A67" s="7">
        <v>44811</v>
      </c>
      <c r="B67" t="str">
        <f>IF(C67="","",VLOOKUP(C67,Background!$C$2:$D$7,2,FALSE))</f>
        <v>E5138</v>
      </c>
      <c r="C67" t="s">
        <v>15</v>
      </c>
      <c r="D67" s="75" t="s">
        <v>54</v>
      </c>
      <c r="E67" s="52">
        <v>2</v>
      </c>
      <c r="G67" s="77">
        <f>IF(Transactions[[#This Row],[Quantity]]="","",Transactions[[#This Row],[Quantity]]*VLOOKUP(Transactions[[#This Row],[Product]],Background!$I$2:$J$6,2,FALSE))</f>
        <v>8000</v>
      </c>
    </row>
    <row r="68" spans="1:7" x14ac:dyDescent="0.25">
      <c r="A68" s="7">
        <v>44809</v>
      </c>
      <c r="B68" t="str">
        <f>IF(C68="","",VLOOKUP(C68,Background!$C$2:$D$7,2,FALSE))</f>
        <v>E5523</v>
      </c>
      <c r="C68" t="s">
        <v>13</v>
      </c>
      <c r="D68" s="75" t="s">
        <v>53</v>
      </c>
      <c r="E68" s="52">
        <v>2</v>
      </c>
      <c r="G68" s="77">
        <f>IF(Transactions[[#This Row],[Quantity]]="","",Transactions[[#This Row],[Quantity]]*VLOOKUP(Transactions[[#This Row],[Product]],Background!$I$2:$J$6,2,FALSE))</f>
        <v>5000</v>
      </c>
    </row>
    <row r="69" spans="1:7" x14ac:dyDescent="0.25">
      <c r="A69" s="7">
        <v>44809</v>
      </c>
      <c r="B69" t="str">
        <f>IF(C69="","",VLOOKUP(C69,Background!$C$2:$D$7,2,FALSE))</f>
        <v>E5523</v>
      </c>
      <c r="C69" t="s">
        <v>13</v>
      </c>
      <c r="D69" s="75" t="s">
        <v>54</v>
      </c>
      <c r="E69" s="52">
        <v>2</v>
      </c>
      <c r="G69" s="77">
        <f>IF(Transactions[[#This Row],[Quantity]]="","",Transactions[[#This Row],[Quantity]]*VLOOKUP(Transactions[[#This Row],[Product]],Background!$I$2:$J$6,2,FALSE))</f>
        <v>8000</v>
      </c>
    </row>
    <row r="70" spans="1:7" x14ac:dyDescent="0.25">
      <c r="A70" s="7">
        <v>44811</v>
      </c>
      <c r="B70" t="str">
        <f>IF(C70="","",VLOOKUP(C70,Background!$C$2:$D$7,2,FALSE))</f>
        <v>E4105</v>
      </c>
      <c r="C70" t="s">
        <v>11</v>
      </c>
      <c r="D70" s="75" t="s">
        <v>52</v>
      </c>
      <c r="E70" s="52">
        <v>1</v>
      </c>
      <c r="G70" s="77">
        <f>IF(Transactions[[#This Row],[Quantity]]="","",Transactions[[#This Row],[Quantity]]*VLOOKUP(Transactions[[#This Row],[Product]],Background!$I$2:$J$6,2,FALSE))</f>
        <v>300</v>
      </c>
    </row>
    <row r="71" spans="1:7" x14ac:dyDescent="0.25">
      <c r="A71" s="7">
        <v>44811</v>
      </c>
      <c r="B71" t="str">
        <f>IF(C71="","",VLOOKUP(C71,Background!$C$2:$D$7,2,FALSE))</f>
        <v>E4105</v>
      </c>
      <c r="C71" t="s">
        <v>11</v>
      </c>
      <c r="D71" s="75" t="s">
        <v>53</v>
      </c>
      <c r="E71" s="52">
        <v>1</v>
      </c>
      <c r="G71" s="77">
        <f>IF(Transactions[[#This Row],[Quantity]]="","",Transactions[[#This Row],[Quantity]]*VLOOKUP(Transactions[[#This Row],[Product]],Background!$I$2:$J$6,2,FALSE))</f>
        <v>2500</v>
      </c>
    </row>
    <row r="72" spans="1:7" x14ac:dyDescent="0.25">
      <c r="A72" s="7">
        <v>44811</v>
      </c>
      <c r="B72" t="str">
        <f>IF(C72="","",VLOOKUP(C72,Background!$C$2:$D$7,2,FALSE))</f>
        <v>E3897</v>
      </c>
      <c r="C72" t="s">
        <v>22</v>
      </c>
      <c r="D72" s="75" t="s">
        <v>54</v>
      </c>
      <c r="E72" s="52">
        <v>1</v>
      </c>
      <c r="G72" s="77">
        <f>IF(Transactions[[#This Row],[Quantity]]="","",Transactions[[#This Row],[Quantity]]*VLOOKUP(Transactions[[#This Row],[Product]],Background!$I$2:$J$6,2,FALSE))</f>
        <v>4000</v>
      </c>
    </row>
    <row r="73" spans="1:7" x14ac:dyDescent="0.25">
      <c r="A73" s="7">
        <v>44811</v>
      </c>
      <c r="B73" t="str">
        <f>IF(C73="","",VLOOKUP(C73,Background!$C$2:$D$7,2,FALSE))</f>
        <v>E5138</v>
      </c>
      <c r="C73" t="s">
        <v>15</v>
      </c>
      <c r="D73" s="75" t="s">
        <v>62</v>
      </c>
      <c r="E73" s="52">
        <v>2</v>
      </c>
      <c r="G73" s="77">
        <f>IF(Transactions[[#This Row],[Quantity]]="","",Transactions[[#This Row],[Quantity]]*VLOOKUP(Transactions[[#This Row],[Product]],Background!$I$2:$J$6,2,FALSE))</f>
        <v>400</v>
      </c>
    </row>
    <row r="74" spans="1:7" x14ac:dyDescent="0.25">
      <c r="A74" s="7">
        <v>44811</v>
      </c>
      <c r="B74" t="str">
        <f>IF(C74="","",VLOOKUP(C74,Background!$C$2:$D$7,2,FALSE))</f>
        <v>E3897</v>
      </c>
      <c r="C74" t="s">
        <v>22</v>
      </c>
      <c r="D74" s="75" t="s">
        <v>52</v>
      </c>
      <c r="E74" s="52">
        <v>2</v>
      </c>
      <c r="G74" s="77">
        <f>IF(Transactions[[#This Row],[Quantity]]="","",Transactions[[#This Row],[Quantity]]*VLOOKUP(Transactions[[#This Row],[Product]],Background!$I$2:$J$6,2,FALSE))</f>
        <v>600</v>
      </c>
    </row>
    <row r="75" spans="1:7" x14ac:dyDescent="0.25">
      <c r="A75" s="7">
        <v>44812</v>
      </c>
      <c r="B75" t="str">
        <f>IF(C75="","",VLOOKUP(C75,Background!$C$2:$D$7,2,FALSE))</f>
        <v>E4105</v>
      </c>
      <c r="C75" t="s">
        <v>11</v>
      </c>
      <c r="D75" s="75" t="s">
        <v>52</v>
      </c>
      <c r="E75" s="52">
        <v>1</v>
      </c>
      <c r="G75" s="77">
        <f>IF(Transactions[[#This Row],[Quantity]]="","",Transactions[[#This Row],[Quantity]]*VLOOKUP(Transactions[[#This Row],[Product]],Background!$I$2:$J$6,2,FALSE))</f>
        <v>300</v>
      </c>
    </row>
    <row r="76" spans="1:7" x14ac:dyDescent="0.25">
      <c r="A76" s="7">
        <v>44812</v>
      </c>
      <c r="B76" t="str">
        <f>IF(C76="","",VLOOKUP(C76,Background!$C$2:$D$7,2,FALSE))</f>
        <v>E4177</v>
      </c>
      <c r="C76" t="s">
        <v>14</v>
      </c>
      <c r="D76" s="75" t="s">
        <v>54</v>
      </c>
      <c r="E76" s="52">
        <v>2</v>
      </c>
      <c r="G76" s="77">
        <f>IF(Transactions[[#This Row],[Quantity]]="","",Transactions[[#This Row],[Quantity]]*VLOOKUP(Transactions[[#This Row],[Product]],Background!$I$2:$J$6,2,FALSE))</f>
        <v>8000</v>
      </c>
    </row>
    <row r="77" spans="1:7" x14ac:dyDescent="0.25">
      <c r="A77" s="7">
        <v>44812</v>
      </c>
      <c r="B77" t="str">
        <f>IF(C77="","",VLOOKUP(C77,Background!$C$2:$D$7,2,FALSE))</f>
        <v>E4177</v>
      </c>
      <c r="C77" t="s">
        <v>14</v>
      </c>
      <c r="D77" s="75" t="s">
        <v>62</v>
      </c>
      <c r="E77" s="52">
        <v>1</v>
      </c>
      <c r="G77" s="77">
        <f>IF(Transactions[[#This Row],[Quantity]]="","",Transactions[[#This Row],[Quantity]]*VLOOKUP(Transactions[[#This Row],[Product]],Background!$I$2:$J$6,2,FALSE))</f>
        <v>200</v>
      </c>
    </row>
    <row r="78" spans="1:7" x14ac:dyDescent="0.25">
      <c r="A78" s="7">
        <v>44812</v>
      </c>
      <c r="B78" t="str">
        <f>IF(C78="","",VLOOKUP(C78,Background!$C$2:$D$7,2,FALSE))</f>
        <v>E4105</v>
      </c>
      <c r="C78" t="s">
        <v>11</v>
      </c>
      <c r="D78" s="75" t="s">
        <v>55</v>
      </c>
      <c r="E78" s="52">
        <v>1</v>
      </c>
      <c r="G78" s="77">
        <f>IF(Transactions[[#This Row],[Quantity]]="","",Transactions[[#This Row],[Quantity]]*VLOOKUP(Transactions[[#This Row],[Product]],Background!$I$2:$J$6,2,FALSE))</f>
        <v>400</v>
      </c>
    </row>
    <row r="79" spans="1:7" x14ac:dyDescent="0.25">
      <c r="A79" s="7">
        <v>44812</v>
      </c>
      <c r="B79" t="str">
        <f>IF(C79="","",VLOOKUP(C79,Background!$C$2:$D$7,2,FALSE))</f>
        <v>E4105</v>
      </c>
      <c r="C79" t="s">
        <v>11</v>
      </c>
      <c r="D79" s="75" t="s">
        <v>52</v>
      </c>
      <c r="E79" s="52">
        <v>1</v>
      </c>
      <c r="G79" s="77">
        <f>IF(Transactions[[#This Row],[Quantity]]="","",Transactions[[#This Row],[Quantity]]*VLOOKUP(Transactions[[#This Row],[Product]],Background!$I$2:$J$6,2,FALSE))</f>
        <v>300</v>
      </c>
    </row>
    <row r="80" spans="1:7" x14ac:dyDescent="0.25">
      <c r="A80" s="7">
        <v>44812</v>
      </c>
      <c r="B80" t="str">
        <f>IF(C80="","",VLOOKUP(C80,Background!$C$2:$D$7,2,FALSE))</f>
        <v>E5138</v>
      </c>
      <c r="C80" t="s">
        <v>15</v>
      </c>
      <c r="D80" s="75" t="s">
        <v>54</v>
      </c>
      <c r="E80" s="52">
        <v>1</v>
      </c>
      <c r="G80" s="77">
        <f>IF(Transactions[[#This Row],[Quantity]]="","",Transactions[[#This Row],[Quantity]]*VLOOKUP(Transactions[[#This Row],[Product]],Background!$I$2:$J$6,2,FALSE))</f>
        <v>4000</v>
      </c>
    </row>
    <row r="81" spans="1:7" x14ac:dyDescent="0.25">
      <c r="A81" s="7">
        <v>44813</v>
      </c>
      <c r="B81" t="str">
        <f>IF(C81="","",VLOOKUP(C81,Background!$C$2:$D$7,2,FALSE))</f>
        <v>E4105</v>
      </c>
      <c r="C81" t="s">
        <v>11</v>
      </c>
      <c r="D81" s="75" t="s">
        <v>53</v>
      </c>
      <c r="E81" s="52">
        <v>2</v>
      </c>
      <c r="G81" s="77">
        <f>IF(Transactions[[#This Row],[Quantity]]="","",Transactions[[#This Row],[Quantity]]*VLOOKUP(Transactions[[#This Row],[Product]],Background!$I$2:$J$6,2,FALSE))</f>
        <v>5000</v>
      </c>
    </row>
    <row r="82" spans="1:7" x14ac:dyDescent="0.25">
      <c r="A82" s="7">
        <v>44809</v>
      </c>
      <c r="B82" t="str">
        <f>IF(C82="","",VLOOKUP(C82,Background!$C$2:$D$7,2,FALSE))</f>
        <v>E5523</v>
      </c>
      <c r="C82" t="s">
        <v>13</v>
      </c>
      <c r="D82" s="75" t="s">
        <v>55</v>
      </c>
      <c r="E82" s="52">
        <v>1</v>
      </c>
      <c r="G82" s="77">
        <f>IF(Transactions[[#This Row],[Quantity]]="","",Transactions[[#This Row],[Quantity]]*VLOOKUP(Transactions[[#This Row],[Product]],Background!$I$2:$J$6,2,FALSE))</f>
        <v>400</v>
      </c>
    </row>
    <row r="83" spans="1:7" x14ac:dyDescent="0.25">
      <c r="A83" s="7">
        <v>44813</v>
      </c>
      <c r="B83" t="str">
        <f>IF(C83="","",VLOOKUP(C83,Background!$C$2:$D$7,2,FALSE))</f>
        <v>E3897</v>
      </c>
      <c r="C83" t="s">
        <v>22</v>
      </c>
      <c r="D83" s="75" t="s">
        <v>55</v>
      </c>
      <c r="E83" s="52">
        <v>1</v>
      </c>
      <c r="G83" s="77">
        <f>IF(Transactions[[#This Row],[Quantity]]="","",Transactions[[#This Row],[Quantity]]*VLOOKUP(Transactions[[#This Row],[Product]],Background!$I$2:$J$6,2,FALSE))</f>
        <v>400</v>
      </c>
    </row>
    <row r="84" spans="1:7" x14ac:dyDescent="0.25">
      <c r="A84" s="7">
        <v>44813</v>
      </c>
      <c r="B84" t="str">
        <f>IF(C84="","",VLOOKUP(C84,Background!$C$2:$D$7,2,FALSE))</f>
        <v>E4105</v>
      </c>
      <c r="C84" t="s">
        <v>11</v>
      </c>
      <c r="D84" s="75" t="s">
        <v>52</v>
      </c>
      <c r="E84" s="52">
        <v>1</v>
      </c>
      <c r="G84" s="77">
        <f>IF(Transactions[[#This Row],[Quantity]]="","",Transactions[[#This Row],[Quantity]]*VLOOKUP(Transactions[[#This Row],[Product]],Background!$I$2:$J$6,2,FALSE))</f>
        <v>300</v>
      </c>
    </row>
    <row r="85" spans="1:7" x14ac:dyDescent="0.25">
      <c r="A85" s="7">
        <v>44813</v>
      </c>
      <c r="B85" t="str">
        <f>IF(C85="","",VLOOKUP(C85,Background!$C$2:$D$7,2,FALSE))</f>
        <v>E4105</v>
      </c>
      <c r="C85" t="s">
        <v>11</v>
      </c>
      <c r="D85" s="75" t="s">
        <v>62</v>
      </c>
      <c r="E85" s="52">
        <v>1</v>
      </c>
      <c r="G85" s="77">
        <f>IF(Transactions[[#This Row],[Quantity]]="","",Transactions[[#This Row],[Quantity]]*VLOOKUP(Transactions[[#This Row],[Product]],Background!$I$2:$J$6,2,FALSE))</f>
        <v>200</v>
      </c>
    </row>
    <row r="86" spans="1:7" x14ac:dyDescent="0.25">
      <c r="A86" s="7">
        <v>44810</v>
      </c>
      <c r="B86" t="str">
        <f>IF(C86="","",VLOOKUP(C86,Background!$C$2:$D$7,2,FALSE))</f>
        <v>E5523</v>
      </c>
      <c r="C86" t="s">
        <v>13</v>
      </c>
      <c r="D86" s="75" t="s">
        <v>53</v>
      </c>
      <c r="E86" s="52">
        <v>1</v>
      </c>
      <c r="G86" s="77">
        <f>IF(Transactions[[#This Row],[Quantity]]="","",Transactions[[#This Row],[Quantity]]*VLOOKUP(Transactions[[#This Row],[Product]],Background!$I$2:$J$6,2,FALSE))</f>
        <v>2500</v>
      </c>
    </row>
    <row r="87" spans="1:7" x14ac:dyDescent="0.25">
      <c r="A87" s="7">
        <v>44810</v>
      </c>
      <c r="B87" t="str">
        <f>IF(C87="","",VLOOKUP(C87,Background!$C$2:$D$7,2,FALSE))</f>
        <v>E5523</v>
      </c>
      <c r="C87" t="s">
        <v>13</v>
      </c>
      <c r="D87" s="75" t="s">
        <v>52</v>
      </c>
      <c r="E87" s="52">
        <v>2</v>
      </c>
      <c r="G87" s="77">
        <f>IF(Transactions[[#This Row],[Quantity]]="","",Transactions[[#This Row],[Quantity]]*VLOOKUP(Transactions[[#This Row],[Product]],Background!$I$2:$J$6,2,FALSE))</f>
        <v>600</v>
      </c>
    </row>
    <row r="88" spans="1:7" x14ac:dyDescent="0.25">
      <c r="A88" s="7">
        <v>44810</v>
      </c>
      <c r="B88" t="str">
        <f>IF(C88="","",VLOOKUP(C88,Background!$C$2:$D$7,2,FALSE))</f>
        <v>E5523</v>
      </c>
      <c r="C88" t="s">
        <v>13</v>
      </c>
      <c r="D88" s="75" t="s">
        <v>55</v>
      </c>
      <c r="E88" s="52">
        <v>1</v>
      </c>
      <c r="G88" s="77">
        <f>IF(Transactions[[#This Row],[Quantity]]="","",Transactions[[#This Row],[Quantity]]*VLOOKUP(Transactions[[#This Row],[Product]],Background!$I$2:$J$6,2,FALSE))</f>
        <v>400</v>
      </c>
    </row>
    <row r="89" spans="1:7" x14ac:dyDescent="0.25">
      <c r="A89" s="7">
        <v>44814</v>
      </c>
      <c r="B89" t="str">
        <f>IF(C89="","",VLOOKUP(C89,Background!$C$2:$D$7,2,FALSE))</f>
        <v>E4105</v>
      </c>
      <c r="C89" t="s">
        <v>11</v>
      </c>
      <c r="D89" s="75" t="s">
        <v>54</v>
      </c>
      <c r="E89" s="52">
        <v>1</v>
      </c>
      <c r="G89" s="77">
        <f>IF(Transactions[[#This Row],[Quantity]]="","",Transactions[[#This Row],[Quantity]]*VLOOKUP(Transactions[[#This Row],[Product]],Background!$I$2:$J$6,2,FALSE))</f>
        <v>4000</v>
      </c>
    </row>
    <row r="90" spans="1:7" x14ac:dyDescent="0.25">
      <c r="A90" s="7">
        <v>44814</v>
      </c>
      <c r="B90" t="str">
        <f>IF(C90="","",VLOOKUP(C90,Background!$C$2:$D$7,2,FALSE))</f>
        <v>E4177</v>
      </c>
      <c r="C90" t="s">
        <v>14</v>
      </c>
      <c r="D90" s="75" t="s">
        <v>55</v>
      </c>
      <c r="E90" s="52">
        <v>2</v>
      </c>
      <c r="G90" s="77">
        <f>IF(Transactions[[#This Row],[Quantity]]="","",Transactions[[#This Row],[Quantity]]*VLOOKUP(Transactions[[#This Row],[Product]],Background!$I$2:$J$6,2,FALSE))</f>
        <v>800</v>
      </c>
    </row>
    <row r="91" spans="1:7" x14ac:dyDescent="0.25">
      <c r="A91" s="7">
        <v>44811</v>
      </c>
      <c r="B91" t="str">
        <f>IF(C91="","",VLOOKUP(C91,Background!$C$2:$D$7,2,FALSE))</f>
        <v>E5523</v>
      </c>
      <c r="C91" t="s">
        <v>13</v>
      </c>
      <c r="D91" s="75" t="s">
        <v>62</v>
      </c>
      <c r="E91" s="52">
        <v>1</v>
      </c>
      <c r="G91" s="77">
        <f>IF(Transactions[[#This Row],[Quantity]]="","",Transactions[[#This Row],[Quantity]]*VLOOKUP(Transactions[[#This Row],[Product]],Background!$I$2:$J$6,2,FALSE))</f>
        <v>200</v>
      </c>
    </row>
    <row r="92" spans="1:7" x14ac:dyDescent="0.25">
      <c r="A92" s="7">
        <v>44811</v>
      </c>
      <c r="B92" t="str">
        <f>IF(C92="","",VLOOKUP(C92,Background!$C$2:$D$7,2,FALSE))</f>
        <v>E5523</v>
      </c>
      <c r="C92" t="s">
        <v>13</v>
      </c>
      <c r="D92" s="75" t="s">
        <v>53</v>
      </c>
      <c r="E92" s="52">
        <v>1</v>
      </c>
      <c r="G92" s="77">
        <f>IF(Transactions[[#This Row],[Quantity]]="","",Transactions[[#This Row],[Quantity]]*VLOOKUP(Transactions[[#This Row],[Product]],Background!$I$2:$J$6,2,FALSE))</f>
        <v>2500</v>
      </c>
    </row>
    <row r="93" spans="1:7" x14ac:dyDescent="0.25">
      <c r="A93" s="7">
        <v>44811</v>
      </c>
      <c r="B93" t="str">
        <f>IF(C93="","",VLOOKUP(C93,Background!$C$2:$D$7,2,FALSE))</f>
        <v>E5523</v>
      </c>
      <c r="C93" t="s">
        <v>13</v>
      </c>
      <c r="D93" s="75" t="s">
        <v>53</v>
      </c>
      <c r="E93" s="52">
        <v>1</v>
      </c>
      <c r="G93" s="77">
        <f>IF(Transactions[[#This Row],[Quantity]]="","",Transactions[[#This Row],[Quantity]]*VLOOKUP(Transactions[[#This Row],[Product]],Background!$I$2:$J$6,2,FALSE))</f>
        <v>2500</v>
      </c>
    </row>
    <row r="94" spans="1:7" x14ac:dyDescent="0.25">
      <c r="A94" s="7">
        <v>44814</v>
      </c>
      <c r="B94" t="str">
        <f>IF(C94="","",VLOOKUP(C94,Background!$C$2:$D$7,2,FALSE))</f>
        <v>E5523</v>
      </c>
      <c r="C94" t="s">
        <v>13</v>
      </c>
      <c r="D94" s="75" t="s">
        <v>54</v>
      </c>
      <c r="E94" s="52">
        <v>1</v>
      </c>
      <c r="G94" s="77">
        <f>IF(Transactions[[#This Row],[Quantity]]="","",Transactions[[#This Row],[Quantity]]*VLOOKUP(Transactions[[#This Row],[Product]],Background!$I$2:$J$6,2,FALSE))</f>
        <v>4000</v>
      </c>
    </row>
    <row r="95" spans="1:7" x14ac:dyDescent="0.25">
      <c r="A95" s="7">
        <v>44815</v>
      </c>
      <c r="B95" t="str">
        <f>IF(C95="","",VLOOKUP(C95,Background!$C$2:$D$7,2,FALSE))</f>
        <v>E3897</v>
      </c>
      <c r="C95" t="s">
        <v>22</v>
      </c>
      <c r="D95" s="75" t="s">
        <v>53</v>
      </c>
      <c r="E95" s="52">
        <v>1</v>
      </c>
      <c r="G95" s="77">
        <f>IF(Transactions[[#This Row],[Quantity]]="","",Transactions[[#This Row],[Quantity]]*VLOOKUP(Transactions[[#This Row],[Product]],Background!$I$2:$J$6,2,FALSE))</f>
        <v>2500</v>
      </c>
    </row>
    <row r="96" spans="1:7" x14ac:dyDescent="0.25">
      <c r="A96" s="7">
        <v>44814</v>
      </c>
      <c r="B96" t="str">
        <f>IF(C96="","",VLOOKUP(C96,Background!$C$2:$D$7,2,FALSE))</f>
        <v>E5523</v>
      </c>
      <c r="C96" t="s">
        <v>13</v>
      </c>
      <c r="D96" s="75" t="s">
        <v>52</v>
      </c>
      <c r="E96" s="52">
        <v>2</v>
      </c>
      <c r="G96" s="77">
        <f>IF(Transactions[[#This Row],[Quantity]]="","",Transactions[[#This Row],[Quantity]]*VLOOKUP(Transactions[[#This Row],[Product]],Background!$I$2:$J$6,2,FALSE))</f>
        <v>600</v>
      </c>
    </row>
    <row r="97" spans="1:7" x14ac:dyDescent="0.25">
      <c r="A97" s="7">
        <v>44814</v>
      </c>
      <c r="B97" t="str">
        <f>IF(C97="","",VLOOKUP(C97,Background!$C$2:$D$7,2,FALSE))</f>
        <v>E5523</v>
      </c>
      <c r="C97" t="s">
        <v>13</v>
      </c>
      <c r="D97" s="75" t="s">
        <v>55</v>
      </c>
      <c r="E97" s="52">
        <v>1</v>
      </c>
      <c r="G97" s="77">
        <f>IF(Transactions[[#This Row],[Quantity]]="","",Transactions[[#This Row],[Quantity]]*VLOOKUP(Transactions[[#This Row],[Product]],Background!$I$2:$J$6,2,FALSE))</f>
        <v>400</v>
      </c>
    </row>
    <row r="98" spans="1:7" x14ac:dyDescent="0.25">
      <c r="A98" s="7">
        <v>44815</v>
      </c>
      <c r="B98" t="str">
        <f>IF(C98="","",VLOOKUP(C98,Background!$C$2:$D$7,2,FALSE))</f>
        <v>E3897</v>
      </c>
      <c r="C98" t="s">
        <v>22</v>
      </c>
      <c r="D98" s="75" t="s">
        <v>62</v>
      </c>
      <c r="E98" s="52">
        <v>2</v>
      </c>
      <c r="G98" s="77">
        <f>IF(Transactions[[#This Row],[Quantity]]="","",Transactions[[#This Row],[Quantity]]*VLOOKUP(Transactions[[#This Row],[Product]],Background!$I$2:$J$6,2,FALSE))</f>
        <v>400</v>
      </c>
    </row>
    <row r="99" spans="1:7" x14ac:dyDescent="0.25">
      <c r="A99" s="7">
        <v>44815</v>
      </c>
      <c r="B99" t="str">
        <f>IF(C99="","",VLOOKUP(C99,Background!$C$2:$D$7,2,FALSE))</f>
        <v>E3897</v>
      </c>
      <c r="C99" t="s">
        <v>22</v>
      </c>
      <c r="D99" s="75" t="s">
        <v>55</v>
      </c>
      <c r="E99" s="52">
        <v>1</v>
      </c>
      <c r="G99" s="77">
        <f>IF(Transactions[[#This Row],[Quantity]]="","",Transactions[[#This Row],[Quantity]]*VLOOKUP(Transactions[[#This Row],[Product]],Background!$I$2:$J$6,2,FALSE))</f>
        <v>400</v>
      </c>
    </row>
    <row r="100" spans="1:7" x14ac:dyDescent="0.25">
      <c r="A100" s="7">
        <v>44815</v>
      </c>
      <c r="B100" t="str">
        <f>IF(C100="","",VLOOKUP(C100,Background!$C$2:$D$7,2,FALSE))</f>
        <v>E4105</v>
      </c>
      <c r="C100" t="s">
        <v>11</v>
      </c>
      <c r="D100" s="75" t="s">
        <v>53</v>
      </c>
      <c r="E100" s="52">
        <v>1</v>
      </c>
      <c r="G100" s="77">
        <f>IF(Transactions[[#This Row],[Quantity]]="","",Transactions[[#This Row],[Quantity]]*VLOOKUP(Transactions[[#This Row],[Product]],Background!$I$2:$J$6,2,FALSE))</f>
        <v>2500</v>
      </c>
    </row>
    <row r="101" spans="1:7" x14ac:dyDescent="0.25">
      <c r="A101" s="7">
        <v>44815</v>
      </c>
      <c r="B101" t="str">
        <f>IF(C101="","",VLOOKUP(C101,Background!$C$2:$D$7,2,FALSE))</f>
        <v>E5523</v>
      </c>
      <c r="C101" t="s">
        <v>13</v>
      </c>
      <c r="D101" s="75" t="s">
        <v>62</v>
      </c>
      <c r="E101" s="52">
        <v>2</v>
      </c>
      <c r="G101" s="77">
        <f>IF(Transactions[[#This Row],[Quantity]]="","",Transactions[[#This Row],[Quantity]]*VLOOKUP(Transactions[[#This Row],[Product]],Background!$I$2:$J$6,2,FALSE))</f>
        <v>400</v>
      </c>
    </row>
    <row r="102" spans="1:7" x14ac:dyDescent="0.25">
      <c r="A102" s="7">
        <v>44815</v>
      </c>
      <c r="B102" t="str">
        <f>IF(C102="","",VLOOKUP(C102,Background!$C$2:$D$7,2,FALSE))</f>
        <v>E3897</v>
      </c>
      <c r="C102" t="s">
        <v>22</v>
      </c>
      <c r="D102" s="75" t="s">
        <v>54</v>
      </c>
      <c r="E102" s="52">
        <v>1</v>
      </c>
      <c r="G102" s="77">
        <f>IF(Transactions[[#This Row],[Quantity]]="","",Transactions[[#This Row],[Quantity]]*VLOOKUP(Transactions[[#This Row],[Product]],Background!$I$2:$J$6,2,FALSE))</f>
        <v>4000</v>
      </c>
    </row>
    <row r="103" spans="1:7" x14ac:dyDescent="0.25">
      <c r="A103" s="7">
        <v>44815</v>
      </c>
      <c r="B103" t="str">
        <f>IF(C103="","",VLOOKUP(C103,Background!$C$2:$D$7,2,FALSE))</f>
        <v>E4105</v>
      </c>
      <c r="C103" t="s">
        <v>11</v>
      </c>
      <c r="D103" s="75" t="s">
        <v>52</v>
      </c>
      <c r="E103" s="52">
        <v>1</v>
      </c>
      <c r="G103" s="77">
        <f>IF(Transactions[[#This Row],[Quantity]]="","",Transactions[[#This Row],[Quantity]]*VLOOKUP(Transactions[[#This Row],[Product]],Background!$I$2:$J$6,2,FALSE))</f>
        <v>300</v>
      </c>
    </row>
    <row r="104" spans="1:7" x14ac:dyDescent="0.25">
      <c r="A104" s="7">
        <v>44815</v>
      </c>
      <c r="B104" t="str">
        <f>IF(C104="","",VLOOKUP(C104,Background!$C$2:$D$7,2,FALSE))</f>
        <v>E5523</v>
      </c>
      <c r="C104" t="s">
        <v>13</v>
      </c>
      <c r="D104" s="75" t="s">
        <v>52</v>
      </c>
      <c r="E104" s="52">
        <v>3</v>
      </c>
      <c r="G104" s="77">
        <f>IF(Transactions[[#This Row],[Quantity]]="","",Transactions[[#This Row],[Quantity]]*VLOOKUP(Transactions[[#This Row],[Product]],Background!$I$2:$J$6,2,FALSE))</f>
        <v>900</v>
      </c>
    </row>
    <row r="105" spans="1:7" x14ac:dyDescent="0.25">
      <c r="A105" s="7">
        <v>44815</v>
      </c>
      <c r="B105" t="str">
        <f>IF(C105="","",VLOOKUP(C105,Background!$C$2:$D$7,2,FALSE))</f>
        <v>E3897</v>
      </c>
      <c r="C105" t="s">
        <v>22</v>
      </c>
      <c r="D105" s="75" t="s">
        <v>54</v>
      </c>
      <c r="E105" s="52">
        <v>1</v>
      </c>
      <c r="G105" s="77">
        <f>IF(Transactions[[#This Row],[Quantity]]="","",Transactions[[#This Row],[Quantity]]*VLOOKUP(Transactions[[#This Row],[Product]],Background!$I$2:$J$6,2,FALSE))</f>
        <v>4000</v>
      </c>
    </row>
    <row r="106" spans="1:7" x14ac:dyDescent="0.25">
      <c r="B106" t="str">
        <f>IF(C106="","",VLOOKUP(C106,Background!$C$2:$D$7,2,FALSE))</f>
        <v/>
      </c>
    </row>
    <row r="107" spans="1:7" x14ac:dyDescent="0.25">
      <c r="B107" t="str">
        <f>IF(C107="","",VLOOKUP(C107,Background!$C$2:$D$7,2,FALSE))</f>
        <v/>
      </c>
    </row>
    <row r="108" spans="1:7" x14ac:dyDescent="0.25">
      <c r="B108" t="str">
        <f>IF(C108="","",VLOOKUP(C108,Background!$C$2:$D$7,2,FALSE))</f>
        <v/>
      </c>
    </row>
    <row r="109" spans="1:7" x14ac:dyDescent="0.25">
      <c r="B109" t="str">
        <f>IF(C109="","",VLOOKUP(C109,Background!$C$2:$D$7,2,FALSE))</f>
        <v/>
      </c>
    </row>
    <row r="110" spans="1:7" x14ac:dyDescent="0.25">
      <c r="B110" t="str">
        <f>IF(C110="","",VLOOKUP(C110,Background!$C$2:$D$7,2,FALSE))</f>
        <v/>
      </c>
    </row>
    <row r="111" spans="1:7" x14ac:dyDescent="0.25">
      <c r="B111" t="str">
        <f>IF(C111="","",VLOOKUP(C111,Background!$C$2:$D$7,2,FALSE))</f>
        <v/>
      </c>
    </row>
    <row r="112" spans="1:7" x14ac:dyDescent="0.25">
      <c r="B112" t="str">
        <f>IF(C112="","",VLOOKUP(C112,Background!$C$2:$D$7,2,FALSE))</f>
        <v/>
      </c>
    </row>
    <row r="113" spans="2:2" x14ac:dyDescent="0.25">
      <c r="B113" t="str">
        <f>IF(C113="","",VLOOKUP(C113,Background!$C$2:$D$7,2,FALSE))</f>
        <v/>
      </c>
    </row>
    <row r="114" spans="2:2" x14ac:dyDescent="0.25">
      <c r="B114" t="str">
        <f>IF(C114="","",VLOOKUP(C114,Background!$C$2:$D$7,2,FALSE))</f>
        <v/>
      </c>
    </row>
    <row r="115" spans="2:2" x14ac:dyDescent="0.25">
      <c r="B115" t="str">
        <f>IF(C115="","",VLOOKUP(C115,Background!$C$2:$D$7,2,FALSE))</f>
        <v/>
      </c>
    </row>
    <row r="116" spans="2:2" x14ac:dyDescent="0.25">
      <c r="B116" t="str">
        <f>IF(C116="","",VLOOKUP(C116,Background!$C$2:$D$7,2,FALSE))</f>
        <v/>
      </c>
    </row>
    <row r="117" spans="2:2" x14ac:dyDescent="0.25">
      <c r="B117" t="str">
        <f>IF(C117="","",VLOOKUP(C117,Background!$C$2:$D$7,2,FALSE))</f>
        <v/>
      </c>
    </row>
    <row r="118" spans="2:2" x14ac:dyDescent="0.25">
      <c r="B118" t="str">
        <f>IF(C118="","",VLOOKUP(C118,Background!$C$2:$D$7,2,FALSE))</f>
        <v/>
      </c>
    </row>
    <row r="119" spans="2:2" x14ac:dyDescent="0.25">
      <c r="B119" t="str">
        <f>IF(C119="","",VLOOKUP(C119,Background!$C$2:$D$7,2,FALSE))</f>
        <v/>
      </c>
    </row>
    <row r="120" spans="2:2" x14ac:dyDescent="0.25">
      <c r="B120" t="str">
        <f>IF(C120="","",VLOOKUP(C120,Background!$C$2:$D$7,2,FALSE))</f>
        <v/>
      </c>
    </row>
    <row r="121" spans="2:2" x14ac:dyDescent="0.25">
      <c r="B121" t="str">
        <f>IF(C121="","",VLOOKUP(C121,Background!$C$2:$D$7,2,FALSE))</f>
        <v/>
      </c>
    </row>
    <row r="122" spans="2:2" x14ac:dyDescent="0.25">
      <c r="B122" t="str">
        <f>IF(C122="","",VLOOKUP(C122,Background!$C$2:$D$7,2,FALSE))</f>
        <v/>
      </c>
    </row>
    <row r="123" spans="2:2" x14ac:dyDescent="0.25">
      <c r="B123" t="str">
        <f>IF(C123="","",VLOOKUP(C123,Background!$C$2:$D$7,2,FALSE))</f>
        <v/>
      </c>
    </row>
    <row r="124" spans="2:2" x14ac:dyDescent="0.25">
      <c r="B124" t="str">
        <f>IF(C124="","",VLOOKUP(C124,Background!$C$2:$D$7,2,FALSE))</f>
        <v/>
      </c>
    </row>
    <row r="125" spans="2:2" x14ac:dyDescent="0.25">
      <c r="B125" t="str">
        <f>IF(C125="","",VLOOKUP(C125,Background!$C$2:$D$7,2,FALSE))</f>
        <v/>
      </c>
    </row>
    <row r="126" spans="2:2" x14ac:dyDescent="0.25">
      <c r="B126" t="str">
        <f>IF(C126="","",VLOOKUP(C126,Background!$C$2:$D$7,2,FALSE))</f>
        <v/>
      </c>
    </row>
    <row r="127" spans="2:2" x14ac:dyDescent="0.25">
      <c r="B127" t="str">
        <f>IF(C127="","",VLOOKUP(C127,Background!$C$2:$D$7,2,FALSE))</f>
        <v/>
      </c>
    </row>
    <row r="128" spans="2:2" x14ac:dyDescent="0.25">
      <c r="B128" t="str">
        <f>IF(C128="","",VLOOKUP(C128,Background!$C$2:$D$7,2,FALSE))</f>
        <v/>
      </c>
    </row>
    <row r="129" spans="2:2" x14ac:dyDescent="0.25">
      <c r="B129" t="str">
        <f>IF(C129="","",VLOOKUP(C129,Background!$C$2:$D$7,2,FALSE))</f>
        <v/>
      </c>
    </row>
    <row r="130" spans="2:2" x14ac:dyDescent="0.25">
      <c r="B130" t="str">
        <f>IF(C130="","",VLOOKUP(C130,Background!$C$2:$D$7,2,FALSE))</f>
        <v/>
      </c>
    </row>
    <row r="131" spans="2:2" x14ac:dyDescent="0.25">
      <c r="B131" t="str">
        <f>IF(C131="","",VLOOKUP(C131,Background!$C$2:$D$7,2,FALSE))</f>
        <v/>
      </c>
    </row>
    <row r="132" spans="2:2" x14ac:dyDescent="0.25">
      <c r="B132" t="str">
        <f>IF(C132="","",VLOOKUP(C132,Background!$C$2:$D$7,2,FALSE))</f>
        <v/>
      </c>
    </row>
    <row r="133" spans="2:2" x14ac:dyDescent="0.25">
      <c r="B133" t="str">
        <f>IF(C133="","",VLOOKUP(C133,Background!$C$2:$D$7,2,FALSE))</f>
        <v/>
      </c>
    </row>
    <row r="134" spans="2:2" x14ac:dyDescent="0.25">
      <c r="B134" t="str">
        <f>IF(C134="","",VLOOKUP(C134,Background!$C$2:$D$7,2,FALSE))</f>
        <v/>
      </c>
    </row>
    <row r="135" spans="2:2" x14ac:dyDescent="0.25">
      <c r="B135" t="str">
        <f>IF(C135="","",VLOOKUP(C135,Background!$C$2:$D$7,2,FALSE))</f>
        <v/>
      </c>
    </row>
    <row r="136" spans="2:2" x14ac:dyDescent="0.25">
      <c r="B136" t="str">
        <f>IF(C136="","",VLOOKUP(C136,Background!$C$2:$D$7,2,FALSE))</f>
        <v/>
      </c>
    </row>
    <row r="137" spans="2:2" x14ac:dyDescent="0.25">
      <c r="B137" t="str">
        <f>IF(C137="","",VLOOKUP(C137,Background!$C$2:$D$7,2,FALSE))</f>
        <v/>
      </c>
    </row>
    <row r="138" spans="2:2" x14ac:dyDescent="0.25">
      <c r="B138" t="str">
        <f>IF(C138="","",VLOOKUP(C138,Background!$C$2:$D$7,2,FALSE))</f>
        <v/>
      </c>
    </row>
    <row r="139" spans="2:2" x14ac:dyDescent="0.25">
      <c r="B139" t="str">
        <f>IF(C139="","",VLOOKUP(C139,Background!$C$2:$D$7,2,FALSE))</f>
        <v/>
      </c>
    </row>
    <row r="140" spans="2:2" x14ac:dyDescent="0.25">
      <c r="B140" t="str">
        <f>IF(C140="","",VLOOKUP(C140,Background!$C$2:$D$7,2,FALSE))</f>
        <v/>
      </c>
    </row>
    <row r="141" spans="2:2" x14ac:dyDescent="0.25">
      <c r="B141" t="str">
        <f>IF(C141="","",VLOOKUP(C141,Background!$C$2:$D$7,2,FALSE))</f>
        <v/>
      </c>
    </row>
    <row r="142" spans="2:2" x14ac:dyDescent="0.25">
      <c r="B142" t="str">
        <f>IF(C142="","",VLOOKUP(C142,Background!$C$2:$D$7,2,FALSE))</f>
        <v/>
      </c>
    </row>
    <row r="143" spans="2:2" x14ac:dyDescent="0.25">
      <c r="B143" t="str">
        <f>IF(C143="","",VLOOKUP(C143,Background!$C$2:$D$7,2,FALSE))</f>
        <v/>
      </c>
    </row>
    <row r="144" spans="2:2" x14ac:dyDescent="0.25">
      <c r="B144" t="str">
        <f>IF(C144="","",VLOOKUP(C144,Background!$C$2:$D$7,2,FALSE))</f>
        <v/>
      </c>
    </row>
    <row r="145" spans="2:2" x14ac:dyDescent="0.25">
      <c r="B145" t="str">
        <f>IF(C145="","",VLOOKUP(C145,Background!$C$2:$D$7,2,FALSE))</f>
        <v/>
      </c>
    </row>
    <row r="146" spans="2:2" x14ac:dyDescent="0.25">
      <c r="B146" t="str">
        <f>IF(C146="","",VLOOKUP(C146,Background!$C$2:$D$7,2,FALSE))</f>
        <v/>
      </c>
    </row>
    <row r="147" spans="2:2" x14ac:dyDescent="0.25">
      <c r="B147" t="str">
        <f>IF(C147="","",VLOOKUP(C147,Background!$C$2:$D$7,2,FALSE))</f>
        <v/>
      </c>
    </row>
    <row r="148" spans="2:2" x14ac:dyDescent="0.25">
      <c r="B148" t="str">
        <f>IF(C148="","",VLOOKUP(C148,Background!$C$2:$D$7,2,FALSE))</f>
        <v/>
      </c>
    </row>
    <row r="149" spans="2:2" x14ac:dyDescent="0.25">
      <c r="B149" t="str">
        <f>IF(C149="","",VLOOKUP(C149,Background!$C$2:$D$7,2,FALSE))</f>
        <v/>
      </c>
    </row>
    <row r="150" spans="2:2" x14ac:dyDescent="0.25">
      <c r="B150" t="str">
        <f>IF(C150="","",VLOOKUP(C150,Background!$C$2:$D$7,2,FALSE))</f>
        <v/>
      </c>
    </row>
    <row r="151" spans="2:2" x14ac:dyDescent="0.25">
      <c r="B151" t="str">
        <f>IF(C151="","",VLOOKUP(C151,Background!$C$2:$D$7,2,FALSE))</f>
        <v/>
      </c>
    </row>
    <row r="152" spans="2:2" x14ac:dyDescent="0.25">
      <c r="B152" t="str">
        <f>IF(C152="","",VLOOKUP(C152,Background!$C$2:$D$7,2,FALSE))</f>
        <v/>
      </c>
    </row>
    <row r="153" spans="2:2" x14ac:dyDescent="0.25">
      <c r="B153" t="str">
        <f>IF(C153="","",VLOOKUP(C153,Background!$C$2:$D$7,2,FALSE))</f>
        <v/>
      </c>
    </row>
    <row r="154" spans="2:2" x14ac:dyDescent="0.25">
      <c r="B154" t="str">
        <f>IF(C154="","",VLOOKUP(C154,Background!$C$2:$D$7,2,FALSE))</f>
        <v/>
      </c>
    </row>
    <row r="155" spans="2:2" x14ac:dyDescent="0.25">
      <c r="B155" t="str">
        <f>IF(C155="","",VLOOKUP(C155,Background!$C$2:$D$7,2,FALSE))</f>
        <v/>
      </c>
    </row>
    <row r="156" spans="2:2" x14ac:dyDescent="0.25">
      <c r="B156" t="str">
        <f>IF(C156="","",VLOOKUP(C156,Background!$C$2:$D$7,2,FALSE))</f>
        <v/>
      </c>
    </row>
    <row r="157" spans="2:2" x14ac:dyDescent="0.25">
      <c r="B157" t="str">
        <f>IF(C157="","",VLOOKUP(C157,Background!$C$2:$D$7,2,FALSE))</f>
        <v/>
      </c>
    </row>
    <row r="158" spans="2:2" x14ac:dyDescent="0.25">
      <c r="B158" t="str">
        <f>IF(C158="","",VLOOKUP(C158,Background!$C$2:$D$7,2,FALSE))</f>
        <v/>
      </c>
    </row>
    <row r="159" spans="2:2" x14ac:dyDescent="0.25">
      <c r="B159" t="str">
        <f>IF(C159="","",VLOOKUP(C159,Background!$C$2:$D$7,2,FALSE))</f>
        <v/>
      </c>
    </row>
    <row r="160" spans="2:2" x14ac:dyDescent="0.25">
      <c r="B160" t="str">
        <f>IF(C160="","",VLOOKUP(C160,Background!$C$2:$D$7,2,FALSE))</f>
        <v/>
      </c>
    </row>
    <row r="161" spans="2:2" x14ac:dyDescent="0.25">
      <c r="B161" t="str">
        <f>IF(C161="","",VLOOKUP(C161,Background!$C$2:$D$7,2,FALSE))</f>
        <v/>
      </c>
    </row>
    <row r="162" spans="2:2" x14ac:dyDescent="0.25">
      <c r="B162" t="str">
        <f>IF(C162="","",VLOOKUP(C162,Background!$C$2:$D$7,2,FALSE))</f>
        <v/>
      </c>
    </row>
    <row r="163" spans="2:2" x14ac:dyDescent="0.25">
      <c r="B163" t="str">
        <f>IF(C163="","",VLOOKUP(C163,Background!$C$2:$D$7,2,FALSE))</f>
        <v/>
      </c>
    </row>
    <row r="164" spans="2:2" x14ac:dyDescent="0.25">
      <c r="B164" t="str">
        <f>IF(C164="","",VLOOKUP(C164,Background!$C$2:$D$7,2,FALSE))</f>
        <v/>
      </c>
    </row>
    <row r="165" spans="2:2" x14ac:dyDescent="0.25">
      <c r="B165" t="str">
        <f>IF(C165="","",VLOOKUP(C165,Background!$C$2:$D$7,2,FALSE))</f>
        <v/>
      </c>
    </row>
    <row r="166" spans="2:2" x14ac:dyDescent="0.25">
      <c r="B166" t="str">
        <f>IF(C166="","",VLOOKUP(C166,Background!$C$2:$D$7,2,FALSE))</f>
        <v/>
      </c>
    </row>
    <row r="167" spans="2:2" x14ac:dyDescent="0.25">
      <c r="B167" t="str">
        <f>IF(C167="","",VLOOKUP(C167,Background!$C$2:$D$7,2,FALSE))</f>
        <v/>
      </c>
    </row>
    <row r="168" spans="2:2" x14ac:dyDescent="0.25">
      <c r="B168" t="str">
        <f>IF(C168="","",VLOOKUP(C168,Background!$C$2:$D$7,2,FALSE))</f>
        <v/>
      </c>
    </row>
    <row r="169" spans="2:2" x14ac:dyDescent="0.25">
      <c r="B169" t="str">
        <f>IF(C169="","",VLOOKUP(C169,Background!$C$2:$D$7,2,FALSE))</f>
        <v/>
      </c>
    </row>
    <row r="170" spans="2:2" x14ac:dyDescent="0.25">
      <c r="B170" t="str">
        <f>IF(C170="","",VLOOKUP(C170,Background!$C$2:$D$7,2,FALSE))</f>
        <v/>
      </c>
    </row>
    <row r="171" spans="2:2" x14ac:dyDescent="0.25">
      <c r="B171" t="str">
        <f>IF(C171="","",VLOOKUP(C171,Background!$C$2:$D$7,2,FALSE))</f>
        <v/>
      </c>
    </row>
    <row r="172" spans="2:2" x14ac:dyDescent="0.25">
      <c r="B172" t="str">
        <f>IF(C172="","",VLOOKUP(C172,Background!$C$2:$D$7,2,FALSE))</f>
        <v/>
      </c>
    </row>
    <row r="173" spans="2:2" x14ac:dyDescent="0.25">
      <c r="B173" t="str">
        <f>IF(C173="","",VLOOKUP(C173,Background!$C$2:$D$7,2,FALSE))</f>
        <v/>
      </c>
    </row>
    <row r="174" spans="2:2" x14ac:dyDescent="0.25">
      <c r="B174" t="str">
        <f>IF(C174="","",VLOOKUP(C174,Background!$C$2:$D$7,2,FALSE))</f>
        <v/>
      </c>
    </row>
    <row r="175" spans="2:2" x14ac:dyDescent="0.25">
      <c r="B175" t="str">
        <f>IF(C175="","",VLOOKUP(C175,Background!$C$2:$D$7,2,FALSE))</f>
        <v/>
      </c>
    </row>
    <row r="176" spans="2:2" x14ac:dyDescent="0.25">
      <c r="B176" t="str">
        <f>IF(C176="","",VLOOKUP(C176,Background!$C$2:$D$7,2,FALSE))</f>
        <v/>
      </c>
    </row>
    <row r="177" spans="2:2" x14ac:dyDescent="0.25">
      <c r="B177" t="str">
        <f>IF(C177="","",VLOOKUP(C177,Background!$C$2:$D$7,2,FALSE))</f>
        <v/>
      </c>
    </row>
    <row r="178" spans="2:2" x14ac:dyDescent="0.25">
      <c r="B178" t="str">
        <f>IF(C178="","",VLOOKUP(C178,Background!$C$2:$D$7,2,FALSE))</f>
        <v/>
      </c>
    </row>
    <row r="179" spans="2:2" x14ac:dyDescent="0.25">
      <c r="B179" t="str">
        <f>IF(C179="","",VLOOKUP(C179,Background!$C$2:$D$7,2,FALSE))</f>
        <v/>
      </c>
    </row>
    <row r="180" spans="2:2" x14ac:dyDescent="0.25">
      <c r="B180" t="str">
        <f>IF(C180="","",VLOOKUP(C180,Background!$C$2:$D$7,2,FALSE))</f>
        <v/>
      </c>
    </row>
    <row r="181" spans="2:2" x14ac:dyDescent="0.25">
      <c r="B181" t="str">
        <f>IF(C181="","",VLOOKUP(C181,Background!$C$2:$D$7,2,FALSE))</f>
        <v/>
      </c>
    </row>
    <row r="182" spans="2:2" x14ac:dyDescent="0.25">
      <c r="B182" t="str">
        <f>IF(C182="","",VLOOKUP(C182,Background!$C$2:$D$7,2,FALSE))</f>
        <v/>
      </c>
    </row>
    <row r="183" spans="2:2" x14ac:dyDescent="0.25">
      <c r="B183" t="str">
        <f>IF(C183="","",VLOOKUP(C183,Background!$C$2:$D$7,2,FALSE))</f>
        <v/>
      </c>
    </row>
    <row r="184" spans="2:2" x14ac:dyDescent="0.25">
      <c r="B184" t="str">
        <f>IF(C184="","",VLOOKUP(C184,Background!$C$2:$D$7,2,FALSE))</f>
        <v/>
      </c>
    </row>
    <row r="185" spans="2:2" x14ac:dyDescent="0.25">
      <c r="B185" t="str">
        <f>IF(C185="","",VLOOKUP(C185,Background!$C$2:$D$7,2,FALSE))</f>
        <v/>
      </c>
    </row>
    <row r="186" spans="2:2" x14ac:dyDescent="0.25">
      <c r="B186" t="str">
        <f>IF(C186="","",VLOOKUP(C186,Background!$C$2:$D$7,2,FALSE))</f>
        <v/>
      </c>
    </row>
    <row r="187" spans="2:2" x14ac:dyDescent="0.25">
      <c r="B187" t="str">
        <f>IF(C187="","",VLOOKUP(C187,Background!$C$2:$D$7,2,FALSE))</f>
        <v/>
      </c>
    </row>
    <row r="188" spans="2:2" x14ac:dyDescent="0.25">
      <c r="B188" t="str">
        <f>IF(C188="","",VLOOKUP(C188,Background!$C$2:$D$7,2,FALSE))</f>
        <v/>
      </c>
    </row>
    <row r="189" spans="2:2" x14ac:dyDescent="0.25">
      <c r="B189" t="str">
        <f>IF(C189="","",VLOOKUP(C189,Background!$C$2:$D$7,2,FALSE))</f>
        <v/>
      </c>
    </row>
    <row r="190" spans="2:2" x14ac:dyDescent="0.25">
      <c r="B190" t="str">
        <f>IF(C190="","",VLOOKUP(C190,Background!$C$2:$D$7,2,FALSE))</f>
        <v/>
      </c>
    </row>
    <row r="191" spans="2:2" x14ac:dyDescent="0.25">
      <c r="B191" t="str">
        <f>IF(C191="","",VLOOKUP(C191,Background!$C$2:$D$7,2,FALSE))</f>
        <v/>
      </c>
    </row>
    <row r="192" spans="2:2" x14ac:dyDescent="0.25">
      <c r="B192" t="str">
        <f>IF(C192="","",VLOOKUP(C192,Background!$C$2:$D$7,2,FALSE))</f>
        <v/>
      </c>
    </row>
    <row r="193" spans="2:2" x14ac:dyDescent="0.25">
      <c r="B193" t="str">
        <f>IF(C193="","",VLOOKUP(C193,Background!$C$2:$D$7,2,FALSE))</f>
        <v/>
      </c>
    </row>
    <row r="194" spans="2:2" x14ac:dyDescent="0.25">
      <c r="B194" t="str">
        <f>IF(C194="","",VLOOKUP(C194,Background!$C$2:$D$7,2,FALSE))</f>
        <v/>
      </c>
    </row>
    <row r="195" spans="2:2" x14ac:dyDescent="0.25">
      <c r="B195" t="str">
        <f>IF(C195="","",VLOOKUP(C195,Background!$C$2:$D$7,2,FALSE))</f>
        <v/>
      </c>
    </row>
    <row r="196" spans="2:2" x14ac:dyDescent="0.25">
      <c r="B196" t="str">
        <f>IF(C196="","",VLOOKUP(C196,Background!$C$2:$D$7,2,FALSE))</f>
        <v/>
      </c>
    </row>
    <row r="197" spans="2:2" x14ac:dyDescent="0.25">
      <c r="B197" t="str">
        <f>IF(C197="","",VLOOKUP(C197,Background!$C$2:$D$7,2,FALSE))</f>
        <v/>
      </c>
    </row>
    <row r="198" spans="2:2" x14ac:dyDescent="0.25">
      <c r="B198" t="str">
        <f>IF(C198="","",VLOOKUP(C198,Background!$C$2:$D$7,2,FALSE))</f>
        <v/>
      </c>
    </row>
    <row r="199" spans="2:2" x14ac:dyDescent="0.25">
      <c r="B199" t="str">
        <f>IF(C199="","",VLOOKUP(C199,Background!$C$2:$D$7,2,FALSE))</f>
        <v/>
      </c>
    </row>
    <row r="200" spans="2:2" x14ac:dyDescent="0.25">
      <c r="B200" t="str">
        <f>IF(C200="","",VLOOKUP(C200,Background!$C$2:$D$7,2,FALSE))</f>
        <v/>
      </c>
    </row>
    <row r="201" spans="2:2" x14ac:dyDescent="0.25">
      <c r="B201" t="str">
        <f>IF(C201="","",VLOOKUP(C201,Background!$C$2:$D$7,2,FALSE))</f>
        <v/>
      </c>
    </row>
    <row r="202" spans="2:2" x14ac:dyDescent="0.25">
      <c r="B202" t="str">
        <f>IF(C202="","",VLOOKUP(C202,Background!$C$2:$D$7,2,FALSE))</f>
        <v/>
      </c>
    </row>
    <row r="203" spans="2:2" x14ac:dyDescent="0.25">
      <c r="B203" t="str">
        <f>IF(C203="","",VLOOKUP(C203,Background!$C$2:$D$7,2,FALSE))</f>
        <v/>
      </c>
    </row>
    <row r="204" spans="2:2" x14ac:dyDescent="0.25">
      <c r="B204" t="str">
        <f>IF(C204="","",VLOOKUP(C204,Background!$C$2:$D$7,2,FALSE))</f>
        <v/>
      </c>
    </row>
    <row r="205" spans="2:2" x14ac:dyDescent="0.25">
      <c r="B205" t="str">
        <f>IF(C205="","",VLOOKUP(C205,Background!$C$2:$D$7,2,FALSE))</f>
        <v/>
      </c>
    </row>
    <row r="206" spans="2:2" x14ac:dyDescent="0.25">
      <c r="B206" t="str">
        <f>IF(C206="","",VLOOKUP(C206,Background!$C$2:$D$7,2,FALSE))</f>
        <v/>
      </c>
    </row>
    <row r="207" spans="2:2" x14ac:dyDescent="0.25">
      <c r="B207" t="str">
        <f>IF(C207="","",VLOOKUP(C207,Background!$C$2:$D$7,2,FALSE))</f>
        <v/>
      </c>
    </row>
    <row r="208" spans="2:2" x14ac:dyDescent="0.25">
      <c r="B208" t="str">
        <f>IF(C208="","",VLOOKUP(C208,Background!$C$2:$D$7,2,FALSE))</f>
        <v/>
      </c>
    </row>
    <row r="209" spans="2:2" x14ac:dyDescent="0.25">
      <c r="B209" t="str">
        <f>IF(C209="","",VLOOKUP(C209,Background!$C$2:$D$7,2,FALSE))</f>
        <v/>
      </c>
    </row>
    <row r="210" spans="2:2" x14ac:dyDescent="0.25">
      <c r="B210" t="str">
        <f>IF(C210="","",VLOOKUP(C210,Background!$C$2:$D$7,2,FALSE))</f>
        <v/>
      </c>
    </row>
    <row r="211" spans="2:2" x14ac:dyDescent="0.25">
      <c r="B211" t="str">
        <f>IF(C211="","",VLOOKUP(C211,Background!$C$2:$D$7,2,FALSE))</f>
        <v/>
      </c>
    </row>
    <row r="212" spans="2:2" x14ac:dyDescent="0.25">
      <c r="B212" t="str">
        <f>IF(C212="","",VLOOKUP(C212,Background!$C$2:$D$7,2,FALSE))</f>
        <v/>
      </c>
    </row>
    <row r="213" spans="2:2" x14ac:dyDescent="0.25">
      <c r="B213" t="str">
        <f>IF(C213="","",VLOOKUP(C213,Background!$C$2:$D$7,2,FALSE))</f>
        <v/>
      </c>
    </row>
    <row r="214" spans="2:2" x14ac:dyDescent="0.25">
      <c r="B214" t="str">
        <f>IF(C214="","",VLOOKUP(C214,Background!$C$2:$D$7,2,FALSE))</f>
        <v/>
      </c>
    </row>
    <row r="215" spans="2:2" x14ac:dyDescent="0.25">
      <c r="B215" t="str">
        <f>IF(C215="","",VLOOKUP(C215,Background!$C$2:$D$7,2,FALSE))</f>
        <v/>
      </c>
    </row>
    <row r="216" spans="2:2" x14ac:dyDescent="0.25">
      <c r="B216" t="str">
        <f>IF(C216="","",VLOOKUP(C216,Background!$C$2:$D$7,2,FALSE))</f>
        <v/>
      </c>
    </row>
    <row r="217" spans="2:2" x14ac:dyDescent="0.25">
      <c r="B217" t="str">
        <f>IF(C217="","",VLOOKUP(C217,Background!$C$2:$D$7,2,FALSE))</f>
        <v/>
      </c>
    </row>
    <row r="218" spans="2:2" x14ac:dyDescent="0.25">
      <c r="B218" t="str">
        <f>IF(C218="","",VLOOKUP(C218,Background!$C$2:$D$7,2,FALSE))</f>
        <v/>
      </c>
    </row>
    <row r="219" spans="2:2" x14ac:dyDescent="0.25">
      <c r="B219" t="str">
        <f>IF(C219="","",VLOOKUP(C219,Background!$C$2:$D$7,2,FALSE))</f>
        <v/>
      </c>
    </row>
    <row r="220" spans="2:2" x14ac:dyDescent="0.25">
      <c r="B220" t="str">
        <f>IF(C220="","",VLOOKUP(C220,Background!$C$2:$D$7,2,FALSE))</f>
        <v/>
      </c>
    </row>
    <row r="221" spans="2:2" x14ac:dyDescent="0.25">
      <c r="B221" t="str">
        <f>IF(C221="","",VLOOKUP(C221,Background!$C$2:$D$7,2,FALSE))</f>
        <v/>
      </c>
    </row>
    <row r="222" spans="2:2" x14ac:dyDescent="0.25">
      <c r="B222" t="str">
        <f>IF(C222="","",VLOOKUP(C222,Background!$C$2:$D$7,2,FALSE))</f>
        <v/>
      </c>
    </row>
    <row r="223" spans="2:2" x14ac:dyDescent="0.25">
      <c r="B223" t="str">
        <f>IF(C223="","",VLOOKUP(C223,Background!$C$2:$D$7,2,FALSE))</f>
        <v/>
      </c>
    </row>
    <row r="224" spans="2:2" x14ac:dyDescent="0.25">
      <c r="B224" t="str">
        <f>IF(C224="","",VLOOKUP(C224,Background!$C$2:$D$7,2,FALSE))</f>
        <v/>
      </c>
    </row>
    <row r="225" spans="2:2" x14ac:dyDescent="0.25">
      <c r="B225" t="str">
        <f>IF(C225="","",VLOOKUP(C225,Background!$C$2:$D$7,2,FALSE))</f>
        <v/>
      </c>
    </row>
    <row r="226" spans="2:2" x14ac:dyDescent="0.25">
      <c r="B226" t="str">
        <f>IF(C226="","",VLOOKUP(C226,Background!$C$2:$D$7,2,FALSE))</f>
        <v/>
      </c>
    </row>
    <row r="227" spans="2:2" x14ac:dyDescent="0.25">
      <c r="B227" t="str">
        <f>IF(C227="","",VLOOKUP(C227,Background!$C$2:$D$7,2,FALSE))</f>
        <v/>
      </c>
    </row>
    <row r="228" spans="2:2" x14ac:dyDescent="0.25">
      <c r="B228" t="str">
        <f>IF(C228="","",VLOOKUP(C228,Background!$C$2:$D$7,2,FALSE))</f>
        <v/>
      </c>
    </row>
    <row r="229" spans="2:2" x14ac:dyDescent="0.25">
      <c r="B229" t="str">
        <f>IF(C229="","",VLOOKUP(C229,Background!$C$2:$D$7,2,FALSE))</f>
        <v/>
      </c>
    </row>
    <row r="230" spans="2:2" x14ac:dyDescent="0.25">
      <c r="B230" t="str">
        <f>IF(C230="","",VLOOKUP(C230,Background!$C$2:$D$7,2,FALSE))</f>
        <v/>
      </c>
    </row>
    <row r="231" spans="2:2" x14ac:dyDescent="0.25">
      <c r="B231" t="str">
        <f>IF(C231="","",VLOOKUP(C231,Background!$C$2:$D$7,2,FALSE))</f>
        <v/>
      </c>
    </row>
    <row r="232" spans="2:2" x14ac:dyDescent="0.25">
      <c r="B232" t="str">
        <f>IF(C232="","",VLOOKUP(C232,Background!$C$2:$D$7,2,FALSE))</f>
        <v/>
      </c>
    </row>
    <row r="233" spans="2:2" x14ac:dyDescent="0.25">
      <c r="B233" t="str">
        <f>IF(C233="","",VLOOKUP(C233,Background!$C$2:$D$7,2,FALSE))</f>
        <v/>
      </c>
    </row>
    <row r="234" spans="2:2" x14ac:dyDescent="0.25">
      <c r="B234" t="str">
        <f>IF(C234="","",VLOOKUP(C234,Background!$C$2:$D$7,2,FALSE))</f>
        <v/>
      </c>
    </row>
    <row r="235" spans="2:2" x14ac:dyDescent="0.25">
      <c r="B235" t="str">
        <f>IF(C235="","",VLOOKUP(C235,Background!$C$2:$D$7,2,FALSE))</f>
        <v/>
      </c>
    </row>
    <row r="236" spans="2:2" x14ac:dyDescent="0.25">
      <c r="B236" t="str">
        <f>IF(C236="","",VLOOKUP(C236,Background!$C$2:$D$7,2,FALSE))</f>
        <v/>
      </c>
    </row>
    <row r="237" spans="2:2" x14ac:dyDescent="0.25">
      <c r="B237" t="str">
        <f>IF(C237="","",VLOOKUP(C237,Background!$C$2:$D$7,2,FALSE))</f>
        <v/>
      </c>
    </row>
    <row r="238" spans="2:2" x14ac:dyDescent="0.25">
      <c r="B238" t="str">
        <f>IF(C238="","",VLOOKUP(C238,Background!$C$2:$D$7,2,FALSE))</f>
        <v/>
      </c>
    </row>
    <row r="239" spans="2:2" x14ac:dyDescent="0.25">
      <c r="B239" t="str">
        <f>IF(C239="","",VLOOKUP(C239,Background!$C$2:$D$7,2,FALSE))</f>
        <v/>
      </c>
    </row>
    <row r="240" spans="2:2" x14ac:dyDescent="0.25">
      <c r="B240" t="str">
        <f>IF(C240="","",VLOOKUP(C240,Background!$C$2:$D$7,2,FALSE))</f>
        <v/>
      </c>
    </row>
    <row r="241" spans="2:2" x14ac:dyDescent="0.25">
      <c r="B241" t="str">
        <f>IF(C241="","",VLOOKUP(C241,Background!$C$2:$D$7,2,FALSE))</f>
        <v/>
      </c>
    </row>
    <row r="242" spans="2:2" x14ac:dyDescent="0.25">
      <c r="B242" t="str">
        <f>IF(C242="","",VLOOKUP(C242,Background!$C$2:$D$7,2,FALSE))</f>
        <v/>
      </c>
    </row>
    <row r="243" spans="2:2" x14ac:dyDescent="0.25">
      <c r="B243" t="str">
        <f>IF(C243="","",VLOOKUP(C243,Background!$C$2:$D$7,2,FALSE))</f>
        <v/>
      </c>
    </row>
    <row r="244" spans="2:2" x14ac:dyDescent="0.25">
      <c r="B244" t="str">
        <f>IF(C244="","",VLOOKUP(C244,Background!$C$2:$D$7,2,FALSE))</f>
        <v/>
      </c>
    </row>
    <row r="245" spans="2:2" x14ac:dyDescent="0.25">
      <c r="B245" t="str">
        <f>IF(C245="","",VLOOKUP(C245,Background!$C$2:$D$7,2,FALSE))</f>
        <v/>
      </c>
    </row>
    <row r="246" spans="2:2" x14ac:dyDescent="0.25">
      <c r="B246" t="str">
        <f>IF(C246="","",VLOOKUP(C246,Background!$C$2:$D$7,2,FALSE))</f>
        <v/>
      </c>
    </row>
    <row r="247" spans="2:2" x14ac:dyDescent="0.25">
      <c r="B247" t="str">
        <f>IF(C247="","",VLOOKUP(C247,Background!$C$2:$D$7,2,FALSE))</f>
        <v/>
      </c>
    </row>
    <row r="248" spans="2:2" x14ac:dyDescent="0.25">
      <c r="B248" t="str">
        <f>IF(C248="","",VLOOKUP(C248,Background!$C$2:$D$7,2,FALSE))</f>
        <v/>
      </c>
    </row>
    <row r="249" spans="2:2" x14ac:dyDescent="0.25">
      <c r="B249" t="str">
        <f>IF(C249="","",VLOOKUP(C249,Background!$C$2:$D$7,2,FALSE))</f>
        <v/>
      </c>
    </row>
    <row r="250" spans="2:2" x14ac:dyDescent="0.25">
      <c r="B250" t="str">
        <f>IF(C250="","",VLOOKUP(C250,Background!$C$2:$D$7,2,FALSE))</f>
        <v/>
      </c>
    </row>
    <row r="251" spans="2:2" x14ac:dyDescent="0.25">
      <c r="B251" t="str">
        <f>IF(C251="","",VLOOKUP(C251,Background!$C$2:$D$7,2,FALSE))</f>
        <v/>
      </c>
    </row>
    <row r="252" spans="2:2" x14ac:dyDescent="0.25">
      <c r="B252" t="str">
        <f>IF(C252="","",VLOOKUP(C252,Background!$C$2:$D$7,2,FALSE))</f>
        <v/>
      </c>
    </row>
    <row r="253" spans="2:2" x14ac:dyDescent="0.25">
      <c r="B253" t="str">
        <f>IF(C253="","",VLOOKUP(C253,Background!$C$2:$D$7,2,FALSE))</f>
        <v/>
      </c>
    </row>
    <row r="254" spans="2:2" x14ac:dyDescent="0.25">
      <c r="B254" t="str">
        <f>IF(C254="","",VLOOKUP(C254,Background!$C$2:$D$7,2,FALSE))</f>
        <v/>
      </c>
    </row>
    <row r="255" spans="2:2" x14ac:dyDescent="0.25">
      <c r="B255" t="str">
        <f>IF(C255="","",VLOOKUP(C255,Background!$C$2:$D$7,2,FALSE))</f>
        <v/>
      </c>
    </row>
    <row r="256" spans="2:2" x14ac:dyDescent="0.25">
      <c r="B256" t="str">
        <f>IF(C256="","",VLOOKUP(C256,Background!$C$2:$D$7,2,FALSE))</f>
        <v/>
      </c>
    </row>
    <row r="257" spans="2:2" x14ac:dyDescent="0.25">
      <c r="B257" t="str">
        <f>IF(C257="","",VLOOKUP(C257,Background!$C$2:$D$7,2,FALSE))</f>
        <v/>
      </c>
    </row>
    <row r="258" spans="2:2" x14ac:dyDescent="0.25">
      <c r="B258" t="str">
        <f>IF(C258="","",VLOOKUP(C258,Background!$C$2:$D$7,2,FALSE))</f>
        <v/>
      </c>
    </row>
    <row r="259" spans="2:2" x14ac:dyDescent="0.25">
      <c r="B259" t="str">
        <f>IF(C259="","",VLOOKUP(C259,Background!$C$2:$D$7,2,FALSE))</f>
        <v/>
      </c>
    </row>
    <row r="260" spans="2:2" x14ac:dyDescent="0.25">
      <c r="B260" t="str">
        <f>IF(C260="","",VLOOKUP(C260,Background!$C$2:$D$7,2,FALSE))</f>
        <v/>
      </c>
    </row>
    <row r="261" spans="2:2" x14ac:dyDescent="0.25">
      <c r="B261" t="str">
        <f>IF(C261="","",VLOOKUP(C261,Background!$C$2:$D$7,2,FALSE))</f>
        <v/>
      </c>
    </row>
    <row r="262" spans="2:2" x14ac:dyDescent="0.25">
      <c r="B262" t="str">
        <f>IF(C262="","",VLOOKUP(C262,Background!$C$2:$D$7,2,FALSE))</f>
        <v/>
      </c>
    </row>
    <row r="263" spans="2:2" x14ac:dyDescent="0.25">
      <c r="B263" t="str">
        <f>IF(C263="","",VLOOKUP(C263,Background!$C$2:$D$7,2,FALSE))</f>
        <v/>
      </c>
    </row>
    <row r="264" spans="2:2" x14ac:dyDescent="0.25">
      <c r="B264" t="str">
        <f>IF(C264="","",VLOOKUP(C264,Background!$C$2:$D$7,2,FALSE))</f>
        <v/>
      </c>
    </row>
    <row r="265" spans="2:2" x14ac:dyDescent="0.25">
      <c r="B265" t="str">
        <f>IF(C265="","",VLOOKUP(C265,Background!$C$2:$D$7,2,FALSE))</f>
        <v/>
      </c>
    </row>
    <row r="266" spans="2:2" x14ac:dyDescent="0.25">
      <c r="B266" t="str">
        <f>IF(C266="","",VLOOKUP(C266,Background!$C$2:$D$7,2,FALSE))</f>
        <v/>
      </c>
    </row>
    <row r="267" spans="2:2" x14ac:dyDescent="0.25">
      <c r="B267" t="str">
        <f>IF(C267="","",VLOOKUP(C267,Background!$C$2:$D$7,2,FALSE))</f>
        <v/>
      </c>
    </row>
    <row r="268" spans="2:2" x14ac:dyDescent="0.25">
      <c r="B268" t="str">
        <f>IF(C268="","",VLOOKUP(C268,Background!$C$2:$D$7,2,FALSE))</f>
        <v/>
      </c>
    </row>
    <row r="269" spans="2:2" x14ac:dyDescent="0.25">
      <c r="B269" t="str">
        <f>IF(C269="","",VLOOKUP(C269,Background!$C$2:$D$7,2,FALSE))</f>
        <v/>
      </c>
    </row>
    <row r="270" spans="2:2" x14ac:dyDescent="0.25">
      <c r="B270" t="str">
        <f>IF(C270="","",VLOOKUP(C270,Background!$C$2:$D$7,2,FALSE))</f>
        <v/>
      </c>
    </row>
    <row r="271" spans="2:2" x14ac:dyDescent="0.25">
      <c r="B271" t="str">
        <f>IF(C271="","",VLOOKUP(C271,Background!$C$2:$D$7,2,FALSE))</f>
        <v/>
      </c>
    </row>
    <row r="272" spans="2:2" x14ac:dyDescent="0.25">
      <c r="B272" t="str">
        <f>IF(C272="","",VLOOKUP(C272,Background!$C$2:$D$7,2,FALSE))</f>
        <v/>
      </c>
    </row>
    <row r="273" spans="2:2" x14ac:dyDescent="0.25">
      <c r="B273" t="str">
        <f>IF(C273="","",VLOOKUP(C273,Background!$C$2:$D$7,2,FALSE))</f>
        <v/>
      </c>
    </row>
    <row r="274" spans="2:2" x14ac:dyDescent="0.25">
      <c r="B274" t="str">
        <f>IF(C274="","",VLOOKUP(C274,Background!$C$2:$D$7,2,FALSE))</f>
        <v/>
      </c>
    </row>
    <row r="275" spans="2:2" x14ac:dyDescent="0.25">
      <c r="B275" t="str">
        <f>IF(C275="","",VLOOKUP(C275,Background!$C$2:$D$7,2,FALSE))</f>
        <v/>
      </c>
    </row>
    <row r="276" spans="2:2" x14ac:dyDescent="0.25">
      <c r="B276" t="str">
        <f>IF(C276="","",VLOOKUP(C276,Background!$C$2:$D$7,2,FALSE))</f>
        <v/>
      </c>
    </row>
    <row r="277" spans="2:2" x14ac:dyDescent="0.25">
      <c r="B277" t="str">
        <f>IF(C277="","",VLOOKUP(C277,Background!$C$2:$D$7,2,FALSE))</f>
        <v/>
      </c>
    </row>
    <row r="278" spans="2:2" x14ac:dyDescent="0.25">
      <c r="B278" t="str">
        <f>IF(C278="","",VLOOKUP(C278,Background!$C$2:$D$7,2,FALSE))</f>
        <v/>
      </c>
    </row>
    <row r="279" spans="2:2" x14ac:dyDescent="0.25">
      <c r="B279" t="str">
        <f>IF(C279="","",VLOOKUP(C279,Background!$C$2:$D$7,2,FALSE))</f>
        <v/>
      </c>
    </row>
    <row r="280" spans="2:2" x14ac:dyDescent="0.25">
      <c r="B280" t="str">
        <f>IF(C280="","",VLOOKUP(C280,Background!$C$2:$D$7,2,FALSE))</f>
        <v/>
      </c>
    </row>
    <row r="281" spans="2:2" x14ac:dyDescent="0.25">
      <c r="B281" t="str">
        <f>IF(C281="","",VLOOKUP(C281,Background!$C$2:$D$7,2,FALSE))</f>
        <v/>
      </c>
    </row>
    <row r="282" spans="2:2" x14ac:dyDescent="0.25">
      <c r="B282" t="str">
        <f>IF(C282="","",VLOOKUP(C282,Background!$C$2:$D$7,2,FALSE))</f>
        <v/>
      </c>
    </row>
    <row r="283" spans="2:2" x14ac:dyDescent="0.25">
      <c r="B283" t="str">
        <f>IF(C283="","",VLOOKUP(C283,Background!$C$2:$D$7,2,FALSE))</f>
        <v/>
      </c>
    </row>
    <row r="284" spans="2:2" x14ac:dyDescent="0.25">
      <c r="B284" t="str">
        <f>IF(C284="","",VLOOKUP(C284,Background!$C$2:$D$7,2,FALSE))</f>
        <v/>
      </c>
    </row>
    <row r="285" spans="2:2" x14ac:dyDescent="0.25">
      <c r="B285" t="str">
        <f>IF(C285="","",VLOOKUP(C285,Background!$C$2:$D$7,2,FALSE))</f>
        <v/>
      </c>
    </row>
    <row r="286" spans="2:2" x14ac:dyDescent="0.25">
      <c r="B286" t="str">
        <f>IF(C286="","",VLOOKUP(C286,Background!$C$2:$D$7,2,FALSE))</f>
        <v/>
      </c>
    </row>
    <row r="287" spans="2:2" x14ac:dyDescent="0.25">
      <c r="B287" t="str">
        <f>IF(C287="","",VLOOKUP(C287,Background!$C$2:$D$7,2,FALSE))</f>
        <v/>
      </c>
    </row>
    <row r="288" spans="2:2" x14ac:dyDescent="0.25">
      <c r="B288" t="str">
        <f>IF(C288="","",VLOOKUP(C288,Background!$C$2:$D$7,2,FALSE))</f>
        <v/>
      </c>
    </row>
    <row r="289" spans="2:2" x14ac:dyDescent="0.25">
      <c r="B289" t="str">
        <f>IF(C289="","",VLOOKUP(C289,Background!$C$2:$D$7,2,FALSE))</f>
        <v/>
      </c>
    </row>
    <row r="290" spans="2:2" x14ac:dyDescent="0.25">
      <c r="B290" t="str">
        <f>IF(C290="","",VLOOKUP(C290,Background!$C$2:$D$7,2,FALSE))</f>
        <v/>
      </c>
    </row>
    <row r="291" spans="2:2" x14ac:dyDescent="0.25">
      <c r="B291" t="str">
        <f>IF(C291="","",VLOOKUP(C291,Background!$C$2:$D$7,2,FALSE))</f>
        <v/>
      </c>
    </row>
    <row r="292" spans="2:2" x14ac:dyDescent="0.25">
      <c r="B292" t="str">
        <f>IF(C292="","",VLOOKUP(C292,Background!$C$2:$D$7,2,FALSE))</f>
        <v/>
      </c>
    </row>
    <row r="293" spans="2:2" x14ac:dyDescent="0.25">
      <c r="B293" t="str">
        <f>IF(C293="","",VLOOKUP(C293,Background!$C$2:$D$7,2,FALSE))</f>
        <v/>
      </c>
    </row>
    <row r="294" spans="2:2" x14ac:dyDescent="0.25">
      <c r="B294" t="str">
        <f>IF(C294="","",VLOOKUP(C294,Background!$C$2:$D$7,2,FALSE))</f>
        <v/>
      </c>
    </row>
    <row r="295" spans="2:2" x14ac:dyDescent="0.25">
      <c r="B295" t="str">
        <f>IF(C295="","",VLOOKUP(C295,Background!$C$2:$D$7,2,FALSE))</f>
        <v/>
      </c>
    </row>
    <row r="296" spans="2:2" x14ac:dyDescent="0.25">
      <c r="B296" t="str">
        <f>IF(C296="","",VLOOKUP(C296,Background!$C$2:$D$7,2,FALSE))</f>
        <v/>
      </c>
    </row>
    <row r="297" spans="2:2" x14ac:dyDescent="0.25">
      <c r="B297" t="str">
        <f>IF(C297="","",VLOOKUP(C297,Background!$C$2:$D$7,2,FALSE))</f>
        <v/>
      </c>
    </row>
    <row r="298" spans="2:2" x14ac:dyDescent="0.25">
      <c r="B298" t="str">
        <f>IF(C298="","",VLOOKUP(C298,Background!$C$2:$D$7,2,FALSE))</f>
        <v/>
      </c>
    </row>
    <row r="299" spans="2:2" x14ac:dyDescent="0.25">
      <c r="B299" t="str">
        <f>IF(C299="","",VLOOKUP(C299,Background!$C$2:$D$7,2,FALSE))</f>
        <v/>
      </c>
    </row>
    <row r="300" spans="2:2" x14ac:dyDescent="0.25">
      <c r="B300" t="str">
        <f>IF(C300="","",VLOOKUP(C300,Background!$C$2:$D$7,2,FALSE))</f>
        <v/>
      </c>
    </row>
    <row r="301" spans="2:2" x14ac:dyDescent="0.25">
      <c r="B301" t="str">
        <f>IF(C301="","",VLOOKUP(C301,Background!$C$2:$D$7,2,FALSE))</f>
        <v/>
      </c>
    </row>
    <row r="302" spans="2:2" x14ac:dyDescent="0.25">
      <c r="B302" t="str">
        <f>IF(C302="","",VLOOKUP(C302,Background!$C$2:$D$7,2,FALSE))</f>
        <v/>
      </c>
    </row>
    <row r="303" spans="2:2" x14ac:dyDescent="0.25">
      <c r="B303" t="str">
        <f>IF(C303="","",VLOOKUP(C303,Background!$C$2:$D$7,2,FALSE))</f>
        <v/>
      </c>
    </row>
    <row r="304" spans="2:2" x14ac:dyDescent="0.25">
      <c r="B304" t="str">
        <f>IF(C304="","",VLOOKUP(C304,Background!$C$2:$D$7,2,FALSE))</f>
        <v/>
      </c>
    </row>
    <row r="305" spans="2:2" x14ac:dyDescent="0.25">
      <c r="B305" t="str">
        <f>IF(C305="","",VLOOKUP(C305,Background!$C$2:$D$7,2,FALSE))</f>
        <v/>
      </c>
    </row>
    <row r="306" spans="2:2" x14ac:dyDescent="0.25">
      <c r="B306" t="str">
        <f>IF(C306="","",VLOOKUP(C306,Background!$C$2:$D$7,2,FALSE))</f>
        <v/>
      </c>
    </row>
    <row r="307" spans="2:2" x14ac:dyDescent="0.25">
      <c r="B307" t="str">
        <f>IF(C307="","",VLOOKUP(C307,Background!$C$2:$D$7,2,FALSE))</f>
        <v/>
      </c>
    </row>
    <row r="308" spans="2:2" x14ac:dyDescent="0.25">
      <c r="B308" t="str">
        <f>IF(C308="","",VLOOKUP(C308,Background!$C$2:$D$7,2,FALSE))</f>
        <v/>
      </c>
    </row>
    <row r="309" spans="2:2" x14ac:dyDescent="0.25">
      <c r="B309" t="str">
        <f>IF(C309="","",VLOOKUP(C309,Background!$C$2:$D$7,2,FALSE))</f>
        <v/>
      </c>
    </row>
    <row r="310" spans="2:2" x14ac:dyDescent="0.25">
      <c r="B310" t="str">
        <f>IF(C310="","",VLOOKUP(C310,Background!$C$2:$D$7,2,FALSE))</f>
        <v/>
      </c>
    </row>
    <row r="311" spans="2:2" x14ac:dyDescent="0.25">
      <c r="B311" t="str">
        <f>IF(C311="","",VLOOKUP(C311,Background!$C$2:$D$7,2,FALSE))</f>
        <v/>
      </c>
    </row>
    <row r="312" spans="2:2" x14ac:dyDescent="0.25">
      <c r="B312" t="str">
        <f>IF(C312="","",VLOOKUP(C312,Background!$C$2:$D$7,2,FALSE))</f>
        <v/>
      </c>
    </row>
    <row r="313" spans="2:2" x14ac:dyDescent="0.25">
      <c r="B313" t="str">
        <f>IF(C313="","",VLOOKUP(C313,Background!$C$2:$D$7,2,FALSE))</f>
        <v/>
      </c>
    </row>
    <row r="314" spans="2:2" x14ac:dyDescent="0.25">
      <c r="B314" t="str">
        <f>IF(C314="","",VLOOKUP(C314,Background!$C$2:$D$7,2,FALSE))</f>
        <v/>
      </c>
    </row>
    <row r="315" spans="2:2" x14ac:dyDescent="0.25">
      <c r="B315" t="str">
        <f>IF(C315="","",VLOOKUP(C315,Background!$C$2:$D$7,2,FALSE))</f>
        <v/>
      </c>
    </row>
    <row r="316" spans="2:2" x14ac:dyDescent="0.25">
      <c r="B316" t="str">
        <f>IF(C316="","",VLOOKUP(C316,Background!$C$2:$D$7,2,FALSE))</f>
        <v/>
      </c>
    </row>
    <row r="317" spans="2:2" x14ac:dyDescent="0.25">
      <c r="B317" t="str">
        <f>IF(C317="","",VLOOKUP(C317,Background!$C$2:$D$7,2,FALSE))</f>
        <v/>
      </c>
    </row>
    <row r="318" spans="2:2" x14ac:dyDescent="0.25">
      <c r="B318" t="str">
        <f>IF(C318="","",VLOOKUP(C318,Background!$C$2:$D$7,2,FALSE))</f>
        <v/>
      </c>
    </row>
    <row r="319" spans="2:2" x14ac:dyDescent="0.25">
      <c r="B319" t="str">
        <f>IF(C319="","",VLOOKUP(C319,Background!$C$2:$D$7,2,FALSE))</f>
        <v/>
      </c>
    </row>
    <row r="320" spans="2:2" x14ac:dyDescent="0.25">
      <c r="B320" t="str">
        <f>IF(C320="","",VLOOKUP(C320,Background!$C$2:$D$7,2,FALSE))</f>
        <v/>
      </c>
    </row>
    <row r="321" spans="2:2" x14ac:dyDescent="0.25">
      <c r="B321" t="str">
        <f>IF(C321="","",VLOOKUP(C321,Background!$C$2:$D$7,2,FALSE))</f>
        <v/>
      </c>
    </row>
    <row r="322" spans="2:2" x14ac:dyDescent="0.25">
      <c r="B322" t="str">
        <f>IF(C322="","",VLOOKUP(C322,Background!$C$2:$D$7,2,FALSE))</f>
        <v/>
      </c>
    </row>
    <row r="323" spans="2:2" x14ac:dyDescent="0.25">
      <c r="B323" t="str">
        <f>IF(C323="","",VLOOKUP(C323,Background!$C$2:$D$7,2,FALSE))</f>
        <v/>
      </c>
    </row>
    <row r="324" spans="2:2" x14ac:dyDescent="0.25">
      <c r="B324" t="str">
        <f>IF(C324="","",VLOOKUP(C324,Background!$C$2:$D$7,2,FALSE))</f>
        <v/>
      </c>
    </row>
    <row r="325" spans="2:2" x14ac:dyDescent="0.25">
      <c r="B325" t="str">
        <f>IF(C325="","",VLOOKUP(C325,Background!$C$2:$D$7,2,FALSE))</f>
        <v/>
      </c>
    </row>
    <row r="326" spans="2:2" x14ac:dyDescent="0.25">
      <c r="B326" t="str">
        <f>IF(C326="","",VLOOKUP(C326,Background!$C$2:$D$7,2,FALSE))</f>
        <v/>
      </c>
    </row>
    <row r="327" spans="2:2" x14ac:dyDescent="0.25">
      <c r="B327" t="str">
        <f>IF(C327="","",VLOOKUP(C327,Background!$C$2:$D$7,2,FALSE))</f>
        <v/>
      </c>
    </row>
    <row r="328" spans="2:2" x14ac:dyDescent="0.25">
      <c r="B328" t="str">
        <f>IF(C328="","",VLOOKUP(C328,Background!$C$2:$D$7,2,FALSE))</f>
        <v/>
      </c>
    </row>
    <row r="329" spans="2:2" x14ac:dyDescent="0.25">
      <c r="B329" t="str">
        <f>IF(C329="","",VLOOKUP(C329,Background!$C$2:$D$7,2,FALSE))</f>
        <v/>
      </c>
    </row>
    <row r="330" spans="2:2" x14ac:dyDescent="0.25">
      <c r="B330" t="str">
        <f>IF(C330="","",VLOOKUP(C330,Background!$C$2:$D$7,2,FALSE))</f>
        <v/>
      </c>
    </row>
    <row r="331" spans="2:2" x14ac:dyDescent="0.25">
      <c r="B331" t="str">
        <f>IF(C331="","",VLOOKUP(C331,Background!$C$2:$D$7,2,FALSE))</f>
        <v/>
      </c>
    </row>
    <row r="332" spans="2:2" x14ac:dyDescent="0.25">
      <c r="B332" t="str">
        <f>IF(C332="","",VLOOKUP(C332,Background!$C$2:$D$7,2,FALSE))</f>
        <v/>
      </c>
    </row>
    <row r="333" spans="2:2" x14ac:dyDescent="0.25">
      <c r="B333" t="str">
        <f>IF(C333="","",VLOOKUP(C333,Background!$C$2:$D$7,2,FALSE))</f>
        <v/>
      </c>
    </row>
    <row r="334" spans="2:2" x14ac:dyDescent="0.25">
      <c r="B334" t="str">
        <f>IF(C334="","",VLOOKUP(C334,Background!$C$2:$D$7,2,FALSE))</f>
        <v/>
      </c>
    </row>
    <row r="335" spans="2:2" x14ac:dyDescent="0.25">
      <c r="B335" t="str">
        <f>IF(C335="","",VLOOKUP(C335,Background!$C$2:$D$7,2,FALSE))</f>
        <v/>
      </c>
    </row>
    <row r="336" spans="2:2" x14ac:dyDescent="0.25">
      <c r="B336" t="str">
        <f>IF(C336="","",VLOOKUP(C336,Background!$C$2:$D$7,2,FALSE))</f>
        <v/>
      </c>
    </row>
    <row r="337" spans="2:2" x14ac:dyDescent="0.25">
      <c r="B337" t="str">
        <f>IF(C337="","",VLOOKUP(C337,Background!$C$2:$D$7,2,FALSE))</f>
        <v/>
      </c>
    </row>
    <row r="338" spans="2:2" x14ac:dyDescent="0.25">
      <c r="B338" t="str">
        <f>IF(C338="","",VLOOKUP(C338,Background!$C$2:$D$7,2,FALSE))</f>
        <v/>
      </c>
    </row>
    <row r="339" spans="2:2" x14ac:dyDescent="0.25">
      <c r="B339" t="str">
        <f>IF(C339="","",VLOOKUP(C339,Background!$C$2:$D$7,2,FALSE))</f>
        <v/>
      </c>
    </row>
    <row r="340" spans="2:2" x14ac:dyDescent="0.25">
      <c r="B340" t="str">
        <f>IF(C340="","",VLOOKUP(C340,Background!$C$2:$D$7,2,FALSE))</f>
        <v/>
      </c>
    </row>
    <row r="341" spans="2:2" x14ac:dyDescent="0.25">
      <c r="B341" t="str">
        <f>IF(C341="","",VLOOKUP(C341,Background!$C$2:$D$7,2,FALSE))</f>
        <v/>
      </c>
    </row>
    <row r="342" spans="2:2" x14ac:dyDescent="0.25">
      <c r="B342" t="str">
        <f>IF(C342="","",VLOOKUP(C342,Background!$C$2:$D$7,2,FALSE))</f>
        <v/>
      </c>
    </row>
    <row r="343" spans="2:2" x14ac:dyDescent="0.25">
      <c r="B343" t="str">
        <f>IF(C343="","",VLOOKUP(C343,Background!$C$2:$D$7,2,FALSE))</f>
        <v/>
      </c>
    </row>
    <row r="344" spans="2:2" x14ac:dyDescent="0.25">
      <c r="B344" t="str">
        <f>IF(C344="","",VLOOKUP(C344,Background!$C$2:$D$7,2,FALSE))</f>
        <v/>
      </c>
    </row>
    <row r="345" spans="2:2" x14ac:dyDescent="0.25">
      <c r="B345" t="str">
        <f>IF(C345="","",VLOOKUP(C345,Background!$C$2:$D$7,2,FALSE))</f>
        <v/>
      </c>
    </row>
    <row r="346" spans="2:2" x14ac:dyDescent="0.25">
      <c r="B346" t="str">
        <f>IF(C346="","",VLOOKUP(C346,Background!$C$2:$D$7,2,FALSE))</f>
        <v/>
      </c>
    </row>
    <row r="347" spans="2:2" x14ac:dyDescent="0.25">
      <c r="B347" t="str">
        <f>IF(C347="","",VLOOKUP(C347,Background!$C$2:$D$7,2,FALSE))</f>
        <v/>
      </c>
    </row>
    <row r="348" spans="2:2" x14ac:dyDescent="0.25">
      <c r="B348" t="str">
        <f>IF(C348="","",VLOOKUP(C348,Background!$C$2:$D$7,2,FALSE))</f>
        <v/>
      </c>
    </row>
    <row r="349" spans="2:2" x14ac:dyDescent="0.25">
      <c r="B349" t="str">
        <f>IF(C349="","",VLOOKUP(C349,Background!$C$2:$D$7,2,FALSE))</f>
        <v/>
      </c>
    </row>
    <row r="350" spans="2:2" x14ac:dyDescent="0.25">
      <c r="B350" t="str">
        <f>IF(C350="","",VLOOKUP(C350,Background!$C$2:$D$7,2,FALSE))</f>
        <v/>
      </c>
    </row>
    <row r="351" spans="2:2" x14ac:dyDescent="0.25">
      <c r="B351" t="str">
        <f>IF(C351="","",VLOOKUP(C351,Background!$C$2:$D$7,2,FALSE))</f>
        <v/>
      </c>
    </row>
    <row r="352" spans="2:2" x14ac:dyDescent="0.25">
      <c r="B352" t="str">
        <f>IF(C352="","",VLOOKUP(C352,Background!$C$2:$D$7,2,FALSE))</f>
        <v/>
      </c>
    </row>
    <row r="353" spans="2:2" x14ac:dyDescent="0.25">
      <c r="B353" t="str">
        <f>IF(C353="","",VLOOKUP(C353,Background!$C$2:$D$7,2,FALSE))</f>
        <v/>
      </c>
    </row>
    <row r="354" spans="2:2" x14ac:dyDescent="0.25">
      <c r="B354" t="str">
        <f>IF(C354="","",VLOOKUP(C354,Background!$C$2:$D$7,2,FALSE))</f>
        <v/>
      </c>
    </row>
    <row r="355" spans="2:2" x14ac:dyDescent="0.25">
      <c r="B355" t="str">
        <f>IF(C355="","",VLOOKUP(C355,Background!$C$2:$D$7,2,FALSE))</f>
        <v/>
      </c>
    </row>
    <row r="356" spans="2:2" x14ac:dyDescent="0.25">
      <c r="B356" t="str">
        <f>IF(C356="","",VLOOKUP(C356,Background!$C$2:$D$7,2,FALSE))</f>
        <v/>
      </c>
    </row>
    <row r="357" spans="2:2" x14ac:dyDescent="0.25">
      <c r="B357" t="str">
        <f>IF(C357="","",VLOOKUP(C357,Background!$C$2:$D$7,2,FALSE))</f>
        <v/>
      </c>
    </row>
    <row r="358" spans="2:2" x14ac:dyDescent="0.25">
      <c r="B358" t="str">
        <f>IF(C358="","",VLOOKUP(C358,Background!$C$2:$D$7,2,FALSE))</f>
        <v/>
      </c>
    </row>
    <row r="359" spans="2:2" x14ac:dyDescent="0.25">
      <c r="B359" t="str">
        <f>IF(C359="","",VLOOKUP(C359,Background!$C$2:$D$7,2,FALSE))</f>
        <v/>
      </c>
    </row>
    <row r="360" spans="2:2" x14ac:dyDescent="0.25">
      <c r="B360" t="str">
        <f>IF(C360="","",VLOOKUP(C360,Background!$C$2:$D$7,2,FALSE))</f>
        <v/>
      </c>
    </row>
    <row r="361" spans="2:2" x14ac:dyDescent="0.25">
      <c r="B361" t="str">
        <f>IF(C361="","",VLOOKUP(C361,Background!$C$2:$D$7,2,FALSE))</f>
        <v/>
      </c>
    </row>
    <row r="362" spans="2:2" x14ac:dyDescent="0.25">
      <c r="B362" t="str">
        <f>IF(C362="","",VLOOKUP(C362,Background!$C$2:$D$7,2,FALSE))</f>
        <v/>
      </c>
    </row>
    <row r="363" spans="2:2" x14ac:dyDescent="0.25">
      <c r="B363" t="str">
        <f>IF(C363="","",VLOOKUP(C363,Background!$C$2:$D$7,2,FALSE))</f>
        <v/>
      </c>
    </row>
    <row r="364" spans="2:2" x14ac:dyDescent="0.25">
      <c r="B364" t="str">
        <f>IF(C364="","",VLOOKUP(C364,Background!$C$2:$D$7,2,FALSE))</f>
        <v/>
      </c>
    </row>
    <row r="365" spans="2:2" x14ac:dyDescent="0.25">
      <c r="B365" t="str">
        <f>IF(C365="","",VLOOKUP(C365,Background!$C$2:$D$7,2,FALSE))</f>
        <v/>
      </c>
    </row>
    <row r="366" spans="2:2" x14ac:dyDescent="0.25">
      <c r="B366" t="str">
        <f>IF(C366="","",VLOOKUP(C366,Background!$C$2:$D$7,2,FALSE))</f>
        <v/>
      </c>
    </row>
    <row r="367" spans="2:2" x14ac:dyDescent="0.25">
      <c r="B367" t="str">
        <f>IF(C367="","",VLOOKUP(C367,Background!$C$2:$D$7,2,FALSE))</f>
        <v/>
      </c>
    </row>
    <row r="368" spans="2:2" x14ac:dyDescent="0.25">
      <c r="B368" t="str">
        <f>IF(C368="","",VLOOKUP(C368,Background!$C$2:$D$7,2,FALSE))</f>
        <v/>
      </c>
    </row>
    <row r="369" spans="2:2" x14ac:dyDescent="0.25">
      <c r="B369" t="str">
        <f>IF(C369="","",VLOOKUP(C369,Background!$C$2:$D$7,2,FALSE))</f>
        <v/>
      </c>
    </row>
    <row r="370" spans="2:2" x14ac:dyDescent="0.25">
      <c r="B370" t="str">
        <f>IF(C370="","",VLOOKUP(C370,Background!$C$2:$D$7,2,FALSE))</f>
        <v/>
      </c>
    </row>
    <row r="371" spans="2:2" x14ac:dyDescent="0.25">
      <c r="B371" t="str">
        <f>IF(C371="","",VLOOKUP(C371,Background!$C$2:$D$7,2,FALSE))</f>
        <v/>
      </c>
    </row>
    <row r="372" spans="2:2" x14ac:dyDescent="0.25">
      <c r="B372" t="str">
        <f>IF(C372="","",VLOOKUP(C372,Background!$C$2:$D$7,2,FALSE))</f>
        <v/>
      </c>
    </row>
    <row r="373" spans="2:2" x14ac:dyDescent="0.25">
      <c r="B373" t="str">
        <f>IF(C373="","",VLOOKUP(C373,Background!$C$2:$D$7,2,FALSE))</f>
        <v/>
      </c>
    </row>
    <row r="374" spans="2:2" x14ac:dyDescent="0.25">
      <c r="B374" t="str">
        <f>IF(C374="","",VLOOKUP(C374,Background!$C$2:$D$7,2,FALSE))</f>
        <v/>
      </c>
    </row>
    <row r="375" spans="2:2" x14ac:dyDescent="0.25">
      <c r="B375" t="str">
        <f>IF(C375="","",VLOOKUP(C375,Background!$C$2:$D$7,2,FALSE))</f>
        <v/>
      </c>
    </row>
    <row r="376" spans="2:2" x14ac:dyDescent="0.25">
      <c r="B376" t="str">
        <f>IF(C376="","",VLOOKUP(C376,Background!$C$2:$D$7,2,FALSE))</f>
        <v/>
      </c>
    </row>
    <row r="377" spans="2:2" x14ac:dyDescent="0.25">
      <c r="B377" t="str">
        <f>IF(C377="","",VLOOKUP(C377,Background!$C$2:$D$7,2,FALSE))</f>
        <v/>
      </c>
    </row>
    <row r="378" spans="2:2" x14ac:dyDescent="0.25">
      <c r="B378" t="str">
        <f>IF(C378="","",VLOOKUP(C378,Background!$C$2:$D$7,2,FALSE))</f>
        <v/>
      </c>
    </row>
    <row r="379" spans="2:2" x14ac:dyDescent="0.25">
      <c r="B379" t="str">
        <f>IF(C379="","",VLOOKUP(C379,Background!$C$2:$D$7,2,FALSE))</f>
        <v/>
      </c>
    </row>
    <row r="380" spans="2:2" x14ac:dyDescent="0.25">
      <c r="B380" t="str">
        <f>IF(C380="","",VLOOKUP(C380,Background!$C$2:$D$7,2,FALSE))</f>
        <v/>
      </c>
    </row>
    <row r="381" spans="2:2" x14ac:dyDescent="0.25">
      <c r="B381" t="str">
        <f>IF(C381="","",VLOOKUP(C381,Background!$C$2:$D$7,2,FALSE))</f>
        <v/>
      </c>
    </row>
    <row r="382" spans="2:2" x14ac:dyDescent="0.25">
      <c r="B382" t="str">
        <f>IF(C382="","",VLOOKUP(C382,Background!$C$2:$D$7,2,FALSE))</f>
        <v/>
      </c>
    </row>
    <row r="383" spans="2:2" x14ac:dyDescent="0.25">
      <c r="B383" t="str">
        <f>IF(C383="","",VLOOKUP(C383,Background!$C$2:$D$7,2,FALSE))</f>
        <v/>
      </c>
    </row>
    <row r="384" spans="2:2" x14ac:dyDescent="0.25">
      <c r="B384" t="str">
        <f>IF(C384="","",VLOOKUP(C384,Background!$C$2:$D$7,2,FALSE))</f>
        <v/>
      </c>
    </row>
    <row r="385" spans="2:2" x14ac:dyDescent="0.25">
      <c r="B385" t="str">
        <f>IF(C385="","",VLOOKUP(C385,Background!$C$2:$D$7,2,FALSE))</f>
        <v/>
      </c>
    </row>
    <row r="386" spans="2:2" x14ac:dyDescent="0.25">
      <c r="B386" t="str">
        <f>IF(C386="","",VLOOKUP(C386,Background!$C$2:$D$7,2,FALSE))</f>
        <v/>
      </c>
    </row>
    <row r="387" spans="2:2" x14ac:dyDescent="0.25">
      <c r="B387" t="str">
        <f>IF(C387="","",VLOOKUP(C387,Background!$C$2:$D$7,2,FALSE))</f>
        <v/>
      </c>
    </row>
    <row r="388" spans="2:2" x14ac:dyDescent="0.25">
      <c r="B388" t="str">
        <f>IF(C388="","",VLOOKUP(C388,Background!$C$2:$D$7,2,FALSE))</f>
        <v/>
      </c>
    </row>
    <row r="389" spans="2:2" x14ac:dyDescent="0.25">
      <c r="B389" t="str">
        <f>IF(C389="","",VLOOKUP(C389,Background!$C$2:$D$7,2,FALSE))</f>
        <v/>
      </c>
    </row>
    <row r="390" spans="2:2" x14ac:dyDescent="0.25">
      <c r="B390" t="str">
        <f>IF(C390="","",VLOOKUP(C390,Background!$C$2:$D$7,2,FALSE))</f>
        <v/>
      </c>
    </row>
    <row r="391" spans="2:2" x14ac:dyDescent="0.25">
      <c r="B391" t="str">
        <f>IF(C391="","",VLOOKUP(C391,Background!$C$2:$D$7,2,FALSE))</f>
        <v/>
      </c>
    </row>
    <row r="392" spans="2:2" x14ac:dyDescent="0.25">
      <c r="B392" t="str">
        <f>IF(C392="","",VLOOKUP(C392,Background!$C$2:$D$7,2,FALSE))</f>
        <v/>
      </c>
    </row>
    <row r="393" spans="2:2" x14ac:dyDescent="0.25">
      <c r="B393" t="str">
        <f>IF(C393="","",VLOOKUP(C393,Background!$C$2:$D$7,2,FALSE))</f>
        <v/>
      </c>
    </row>
    <row r="394" spans="2:2" x14ac:dyDescent="0.25">
      <c r="B394" t="str">
        <f>IF(C394="","",VLOOKUP(C394,Background!$C$2:$D$7,2,FALSE))</f>
        <v/>
      </c>
    </row>
    <row r="395" spans="2:2" x14ac:dyDescent="0.25">
      <c r="B395" t="str">
        <f>IF(C395="","",VLOOKUP(C395,Background!$C$2:$D$7,2,FALSE))</f>
        <v/>
      </c>
    </row>
    <row r="396" spans="2:2" x14ac:dyDescent="0.25">
      <c r="B396" t="str">
        <f>IF(C396="","",VLOOKUP(C396,Background!$C$2:$D$7,2,FALSE))</f>
        <v/>
      </c>
    </row>
    <row r="397" spans="2:2" x14ac:dyDescent="0.25">
      <c r="B397" t="str">
        <f>IF(C397="","",VLOOKUP(C397,Background!$C$2:$D$7,2,FALSE))</f>
        <v/>
      </c>
    </row>
    <row r="398" spans="2:2" x14ac:dyDescent="0.25">
      <c r="B398" t="str">
        <f>IF(C398="","",VLOOKUP(C398,Background!$C$2:$D$7,2,FALSE))</f>
        <v/>
      </c>
    </row>
    <row r="399" spans="2:2" x14ac:dyDescent="0.25">
      <c r="B399" t="str">
        <f>IF(C399="","",VLOOKUP(C399,Background!$C$2:$D$7,2,FALSE))</f>
        <v/>
      </c>
    </row>
    <row r="400" spans="2:2" x14ac:dyDescent="0.25">
      <c r="B400" t="str">
        <f>IF(C400="","",VLOOKUP(C400,Background!$C$2:$D$7,2,FALSE))</f>
        <v/>
      </c>
    </row>
    <row r="401" spans="2:2" x14ac:dyDescent="0.25">
      <c r="B401" t="str">
        <f>IF(C401="","",VLOOKUP(C401,Background!$C$2:$D$7,2,FALSE))</f>
        <v/>
      </c>
    </row>
    <row r="402" spans="2:2" x14ac:dyDescent="0.25">
      <c r="B402" t="str">
        <f>IF(C402="","",VLOOKUP(C402,Background!$C$2:$D$7,2,FALSE))</f>
        <v/>
      </c>
    </row>
    <row r="403" spans="2:2" x14ac:dyDescent="0.25">
      <c r="B403" t="str">
        <f>IF(C403="","",VLOOKUP(C403,Background!$C$2:$D$7,2,FALSE))</f>
        <v/>
      </c>
    </row>
    <row r="404" spans="2:2" x14ac:dyDescent="0.25">
      <c r="B404" t="str">
        <f>IF(C404="","",VLOOKUP(C404,Background!$C$2:$D$7,2,FALSE))</f>
        <v/>
      </c>
    </row>
    <row r="405" spans="2:2" x14ac:dyDescent="0.25">
      <c r="B405" t="str">
        <f>IF(C405="","",VLOOKUP(C405,Background!$C$2:$D$7,2,FALSE))</f>
        <v/>
      </c>
    </row>
    <row r="406" spans="2:2" x14ac:dyDescent="0.25">
      <c r="B406" t="str">
        <f>IF(C406="","",VLOOKUP(C406,Background!$C$2:$D$7,2,FALSE))</f>
        <v/>
      </c>
    </row>
    <row r="407" spans="2:2" x14ac:dyDescent="0.25">
      <c r="B407" t="str">
        <f>IF(C407="","",VLOOKUP(C407,Background!$C$2:$D$7,2,FALSE))</f>
        <v/>
      </c>
    </row>
    <row r="408" spans="2:2" x14ac:dyDescent="0.25">
      <c r="B408" t="str">
        <f>IF(C408="","",VLOOKUP(C408,Background!$C$2:$D$7,2,FALSE))</f>
        <v/>
      </c>
    </row>
    <row r="409" spans="2:2" x14ac:dyDescent="0.25">
      <c r="B409" t="str">
        <f>IF(C409="","",VLOOKUP(C409,Background!$C$2:$D$7,2,FALSE))</f>
        <v/>
      </c>
    </row>
    <row r="410" spans="2:2" x14ac:dyDescent="0.25">
      <c r="B410" t="str">
        <f>IF(C410="","",VLOOKUP(C410,Background!$C$2:$D$7,2,FALSE))</f>
        <v/>
      </c>
    </row>
    <row r="411" spans="2:2" x14ac:dyDescent="0.25">
      <c r="B411" t="str">
        <f>IF(C411="","",VLOOKUP(C411,Background!$C$2:$D$7,2,FALSE))</f>
        <v/>
      </c>
    </row>
    <row r="412" spans="2:2" x14ac:dyDescent="0.25">
      <c r="B412" t="str">
        <f>IF(C412="","",VLOOKUP(C412,Background!$C$2:$D$7,2,FALSE))</f>
        <v/>
      </c>
    </row>
    <row r="413" spans="2:2" x14ac:dyDescent="0.25">
      <c r="B413" t="str">
        <f>IF(C413="","",VLOOKUP(C413,Background!$C$2:$D$7,2,FALSE))</f>
        <v/>
      </c>
    </row>
    <row r="414" spans="2:2" x14ac:dyDescent="0.25">
      <c r="B414" t="str">
        <f>IF(C414="","",VLOOKUP(C414,Background!$C$2:$D$7,2,FALSE))</f>
        <v/>
      </c>
    </row>
    <row r="415" spans="2:2" x14ac:dyDescent="0.25">
      <c r="B415" t="str">
        <f>IF(C415="","",VLOOKUP(C415,Background!$C$2:$D$7,2,FALSE))</f>
        <v/>
      </c>
    </row>
    <row r="416" spans="2:2" x14ac:dyDescent="0.25">
      <c r="B416" t="str">
        <f>IF(C416="","",VLOOKUP(C416,Background!$C$2:$D$7,2,FALSE))</f>
        <v/>
      </c>
    </row>
    <row r="417" spans="2:2" x14ac:dyDescent="0.25">
      <c r="B417" t="str">
        <f>IF(C417="","",VLOOKUP(C417,Background!$C$2:$D$7,2,FALSE))</f>
        <v/>
      </c>
    </row>
    <row r="418" spans="2:2" x14ac:dyDescent="0.25">
      <c r="B418" t="str">
        <f>IF(C418="","",VLOOKUP(C418,Background!$C$2:$D$7,2,FALSE))</f>
        <v/>
      </c>
    </row>
    <row r="419" spans="2:2" x14ac:dyDescent="0.25">
      <c r="B419" t="str">
        <f>IF(C419="","",VLOOKUP(C419,Background!$C$2:$D$7,2,FALSE))</f>
        <v/>
      </c>
    </row>
    <row r="420" spans="2:2" x14ac:dyDescent="0.25">
      <c r="B420" t="str">
        <f>IF(C420="","",VLOOKUP(C420,Background!$C$2:$D$7,2,FALSE))</f>
        <v/>
      </c>
    </row>
    <row r="421" spans="2:2" x14ac:dyDescent="0.25">
      <c r="B421" t="str">
        <f>IF(C421="","",VLOOKUP(C421,Background!$C$2:$D$7,2,FALSE))</f>
        <v/>
      </c>
    </row>
    <row r="422" spans="2:2" x14ac:dyDescent="0.25">
      <c r="B422" t="str">
        <f>IF(C422="","",VLOOKUP(C422,Background!$C$2:$D$7,2,FALSE))</f>
        <v/>
      </c>
    </row>
    <row r="423" spans="2:2" x14ac:dyDescent="0.25">
      <c r="B423" t="str">
        <f>IF(C423="","",VLOOKUP(C423,Background!$C$2:$D$7,2,FALSE))</f>
        <v/>
      </c>
    </row>
    <row r="424" spans="2:2" x14ac:dyDescent="0.25">
      <c r="B424" t="str">
        <f>IF(C424="","",VLOOKUP(C424,Background!$C$2:$D$7,2,FALSE))</f>
        <v/>
      </c>
    </row>
    <row r="425" spans="2:2" x14ac:dyDescent="0.25">
      <c r="B425" t="str">
        <f>IF(C425="","",VLOOKUP(C425,Background!$C$2:$D$7,2,FALSE))</f>
        <v/>
      </c>
    </row>
    <row r="426" spans="2:2" x14ac:dyDescent="0.25">
      <c r="B426" t="str">
        <f>IF(C426="","",VLOOKUP(C426,Background!$C$2:$D$7,2,FALSE))</f>
        <v/>
      </c>
    </row>
    <row r="427" spans="2:2" x14ac:dyDescent="0.25">
      <c r="B427" t="str">
        <f>IF(C427="","",VLOOKUP(C427,Background!$C$2:$D$7,2,FALSE))</f>
        <v/>
      </c>
    </row>
    <row r="428" spans="2:2" x14ac:dyDescent="0.25">
      <c r="B428" t="str">
        <f>IF(C428="","",VLOOKUP(C428,Background!$C$2:$D$7,2,FALSE))</f>
        <v/>
      </c>
    </row>
    <row r="429" spans="2:2" x14ac:dyDescent="0.25">
      <c r="B429" t="str">
        <f>IF(C429="","",VLOOKUP(C429,Background!$C$2:$D$7,2,FALSE))</f>
        <v/>
      </c>
    </row>
    <row r="430" spans="2:2" x14ac:dyDescent="0.25">
      <c r="B430" t="str">
        <f>IF(C430="","",VLOOKUP(C430,Background!$C$2:$D$7,2,FALSE))</f>
        <v/>
      </c>
    </row>
    <row r="431" spans="2:2" x14ac:dyDescent="0.25">
      <c r="B431" t="str">
        <f>IF(C431="","",VLOOKUP(C431,Background!$C$2:$D$7,2,FALSE))</f>
        <v/>
      </c>
    </row>
    <row r="432" spans="2:2" x14ac:dyDescent="0.25">
      <c r="B432" t="str">
        <f>IF(C432="","",VLOOKUP(C432,Background!$C$2:$D$7,2,FALSE))</f>
        <v/>
      </c>
    </row>
    <row r="433" spans="2:2" x14ac:dyDescent="0.25">
      <c r="B433" t="str">
        <f>IF(C433="","",VLOOKUP(C433,Background!$C$2:$D$7,2,FALSE))</f>
        <v/>
      </c>
    </row>
    <row r="434" spans="2:2" x14ac:dyDescent="0.25">
      <c r="B434" t="str">
        <f>IF(C434="","",VLOOKUP(C434,Background!$C$2:$D$7,2,FALSE))</f>
        <v/>
      </c>
    </row>
    <row r="435" spans="2:2" x14ac:dyDescent="0.25">
      <c r="B435" t="str">
        <f>IF(C435="","",VLOOKUP(C435,Background!$C$2:$D$7,2,FALSE))</f>
        <v/>
      </c>
    </row>
    <row r="436" spans="2:2" x14ac:dyDescent="0.25">
      <c r="B436" t="str">
        <f>IF(C436="","",VLOOKUP(C436,Background!$C$2:$D$7,2,FALSE))</f>
        <v/>
      </c>
    </row>
    <row r="437" spans="2:2" x14ac:dyDescent="0.25">
      <c r="B437" t="str">
        <f>IF(C437="","",VLOOKUP(C437,Background!$C$2:$D$7,2,FALSE))</f>
        <v/>
      </c>
    </row>
    <row r="438" spans="2:2" x14ac:dyDescent="0.25">
      <c r="B438" t="str">
        <f>IF(C438="","",VLOOKUP(C438,Background!$C$2:$D$7,2,FALSE))</f>
        <v/>
      </c>
    </row>
    <row r="439" spans="2:2" x14ac:dyDescent="0.25">
      <c r="B439" t="str">
        <f>IF(C439="","",VLOOKUP(C439,Background!$C$2:$D$7,2,FALSE))</f>
        <v/>
      </c>
    </row>
    <row r="440" spans="2:2" x14ac:dyDescent="0.25">
      <c r="B440" t="str">
        <f>IF(C440="","",VLOOKUP(C440,Background!$C$2:$D$7,2,FALSE))</f>
        <v/>
      </c>
    </row>
    <row r="441" spans="2:2" x14ac:dyDescent="0.25">
      <c r="B441" t="str">
        <f>IF(C441="","",VLOOKUP(C441,Background!$C$2:$D$7,2,FALSE))</f>
        <v/>
      </c>
    </row>
    <row r="442" spans="2:2" x14ac:dyDescent="0.25">
      <c r="B442" t="str">
        <f>IF(C442="","",VLOOKUP(C442,Background!$C$2:$D$7,2,FALSE))</f>
        <v/>
      </c>
    </row>
    <row r="443" spans="2:2" x14ac:dyDescent="0.25">
      <c r="B443" t="str">
        <f>IF(C443="","",VLOOKUP(C443,Background!$C$2:$D$7,2,FALSE))</f>
        <v/>
      </c>
    </row>
    <row r="444" spans="2:2" x14ac:dyDescent="0.25">
      <c r="B444" t="str">
        <f>IF(C444="","",VLOOKUP(C444,Background!$C$2:$D$7,2,FALSE))</f>
        <v/>
      </c>
    </row>
    <row r="445" spans="2:2" x14ac:dyDescent="0.25">
      <c r="B445" t="str">
        <f>IF(C445="","",VLOOKUP(C445,Background!$C$2:$D$7,2,FALSE))</f>
        <v/>
      </c>
    </row>
    <row r="446" spans="2:2" x14ac:dyDescent="0.25">
      <c r="B446" t="str">
        <f>IF(C446="","",VLOOKUP(C446,Background!$C$2:$D$7,2,FALSE))</f>
        <v/>
      </c>
    </row>
    <row r="447" spans="2:2" x14ac:dyDescent="0.25">
      <c r="B447" t="str">
        <f>IF(C447="","",VLOOKUP(C447,Background!$C$2:$D$7,2,FALSE))</f>
        <v/>
      </c>
    </row>
    <row r="448" spans="2:2" x14ac:dyDescent="0.25">
      <c r="B448" t="str">
        <f>IF(C448="","",VLOOKUP(C448,Background!$C$2:$D$7,2,FALSE))</f>
        <v/>
      </c>
    </row>
    <row r="449" spans="2:2" x14ac:dyDescent="0.25">
      <c r="B449" t="str">
        <f>IF(C449="","",VLOOKUP(C449,Background!$C$2:$D$7,2,FALSE))</f>
        <v/>
      </c>
    </row>
    <row r="450" spans="2:2" x14ac:dyDescent="0.25">
      <c r="B450" t="str">
        <f>IF(C450="","",VLOOKUP(C450,Background!$C$2:$D$7,2,FALSE))</f>
        <v/>
      </c>
    </row>
    <row r="451" spans="2:2" x14ac:dyDescent="0.25">
      <c r="B451" t="str">
        <f>IF(C451="","",VLOOKUP(C451,Background!$C$2:$D$7,2,FALSE))</f>
        <v/>
      </c>
    </row>
    <row r="452" spans="2:2" x14ac:dyDescent="0.25">
      <c r="B452" t="str">
        <f>IF(C452="","",VLOOKUP(C452,Background!$C$2:$D$7,2,FALSE))</f>
        <v/>
      </c>
    </row>
    <row r="453" spans="2:2" x14ac:dyDescent="0.25">
      <c r="B453" t="str">
        <f>IF(C453="","",VLOOKUP(C453,Background!$C$2:$D$7,2,FALSE))</f>
        <v/>
      </c>
    </row>
    <row r="454" spans="2:2" x14ac:dyDescent="0.25">
      <c r="B454" t="str">
        <f>IF(C454="","",VLOOKUP(C454,Background!$C$2:$D$7,2,FALSE))</f>
        <v/>
      </c>
    </row>
    <row r="455" spans="2:2" x14ac:dyDescent="0.25">
      <c r="B455" t="str">
        <f>IF(C455="","",VLOOKUP(C455,Background!$C$2:$D$7,2,FALSE))</f>
        <v/>
      </c>
    </row>
    <row r="456" spans="2:2" x14ac:dyDescent="0.25">
      <c r="B456" t="str">
        <f>IF(C456="","",VLOOKUP(C456,Background!$C$2:$D$7,2,FALSE))</f>
        <v/>
      </c>
    </row>
    <row r="457" spans="2:2" x14ac:dyDescent="0.25">
      <c r="B457" t="str">
        <f>IF(C457="","",VLOOKUP(C457,Background!$C$2:$D$7,2,FALSE))</f>
        <v/>
      </c>
    </row>
    <row r="458" spans="2:2" x14ac:dyDescent="0.25">
      <c r="B458" t="str">
        <f>IF(C458="","",VLOOKUP(C458,Background!$C$2:$D$7,2,FALSE))</f>
        <v/>
      </c>
    </row>
    <row r="459" spans="2:2" x14ac:dyDescent="0.25">
      <c r="B459" t="str">
        <f>IF(C459="","",VLOOKUP(C459,Background!$C$2:$D$7,2,FALSE))</f>
        <v/>
      </c>
    </row>
    <row r="460" spans="2:2" x14ac:dyDescent="0.25">
      <c r="B460" t="str">
        <f>IF(C460="","",VLOOKUP(C460,Background!$C$2:$D$7,2,FALSE))</f>
        <v/>
      </c>
    </row>
    <row r="461" spans="2:2" x14ac:dyDescent="0.25">
      <c r="B461" t="str">
        <f>IF(C461="","",VLOOKUP(C461,Background!$C$2:$D$7,2,FALSE))</f>
        <v/>
      </c>
    </row>
    <row r="462" spans="2:2" x14ac:dyDescent="0.25">
      <c r="B462" t="str">
        <f>IF(C462="","",VLOOKUP(C462,Background!$C$2:$D$7,2,FALSE))</f>
        <v/>
      </c>
    </row>
    <row r="463" spans="2:2" x14ac:dyDescent="0.25">
      <c r="B463" t="str">
        <f>IF(C463="","",VLOOKUP(C463,Background!$C$2:$D$7,2,FALSE))</f>
        <v/>
      </c>
    </row>
    <row r="464" spans="2:2" x14ac:dyDescent="0.25">
      <c r="B464" t="str">
        <f>IF(C464="","",VLOOKUP(C464,Background!$C$2:$D$7,2,FALSE))</f>
        <v/>
      </c>
    </row>
    <row r="465" spans="2:2" x14ac:dyDescent="0.25">
      <c r="B465" t="str">
        <f>IF(C465="","",VLOOKUP(C465,Background!$C$2:$D$7,2,FALSE))</f>
        <v/>
      </c>
    </row>
    <row r="466" spans="2:2" x14ac:dyDescent="0.25">
      <c r="B466" t="str">
        <f>IF(C466="","",VLOOKUP(C466,Background!$C$2:$D$7,2,FALSE))</f>
        <v/>
      </c>
    </row>
    <row r="467" spans="2:2" x14ac:dyDescent="0.25">
      <c r="B467" t="str">
        <f>IF(C467="","",VLOOKUP(C467,Background!$C$2:$D$7,2,FALSE))</f>
        <v/>
      </c>
    </row>
    <row r="468" spans="2:2" x14ac:dyDescent="0.25">
      <c r="B468" t="str">
        <f>IF(C468="","",VLOOKUP(C468,Background!$C$2:$D$7,2,FALSE))</f>
        <v/>
      </c>
    </row>
    <row r="469" spans="2:2" x14ac:dyDescent="0.25">
      <c r="B469" t="str">
        <f>IF(C469="","",VLOOKUP(C469,Background!$C$2:$D$7,2,FALSE))</f>
        <v/>
      </c>
    </row>
    <row r="470" spans="2:2" x14ac:dyDescent="0.25">
      <c r="B470" t="str">
        <f>IF(C470="","",VLOOKUP(C470,Background!$C$2:$D$7,2,FALSE))</f>
        <v/>
      </c>
    </row>
    <row r="471" spans="2:2" x14ac:dyDescent="0.25">
      <c r="B471" t="str">
        <f>IF(C471="","",VLOOKUP(C471,Background!$C$2:$D$7,2,FALSE))</f>
        <v/>
      </c>
    </row>
    <row r="472" spans="2:2" x14ac:dyDescent="0.25">
      <c r="B472" t="str">
        <f>IF(C472="","",VLOOKUP(C472,Background!$C$2:$D$7,2,FALSE))</f>
        <v/>
      </c>
    </row>
    <row r="473" spans="2:2" x14ac:dyDescent="0.25">
      <c r="B473" t="str">
        <f>IF(C473="","",VLOOKUP(C473,Background!$C$2:$D$7,2,FALSE))</f>
        <v/>
      </c>
    </row>
    <row r="474" spans="2:2" x14ac:dyDescent="0.25">
      <c r="B474" t="str">
        <f>IF(C474="","",VLOOKUP(C474,Background!$C$2:$D$7,2,FALSE))</f>
        <v/>
      </c>
    </row>
    <row r="475" spans="2:2" x14ac:dyDescent="0.25">
      <c r="B475" t="str">
        <f>IF(C475="","",VLOOKUP(C475,Background!$C$2:$D$7,2,FALSE))</f>
        <v/>
      </c>
    </row>
    <row r="476" spans="2:2" x14ac:dyDescent="0.25">
      <c r="B476" t="str">
        <f>IF(C476="","",VLOOKUP(C476,Background!$C$2:$D$7,2,FALSE))</f>
        <v/>
      </c>
    </row>
    <row r="477" spans="2:2" x14ac:dyDescent="0.25">
      <c r="B477" t="str">
        <f>IF(C477="","",VLOOKUP(C477,Background!$C$2:$D$7,2,FALSE))</f>
        <v/>
      </c>
    </row>
    <row r="478" spans="2:2" x14ac:dyDescent="0.25">
      <c r="B478" t="str">
        <f>IF(C478="","",VLOOKUP(C478,Background!$C$2:$D$7,2,FALSE))</f>
        <v/>
      </c>
    </row>
    <row r="479" spans="2:2" x14ac:dyDescent="0.25">
      <c r="B479" t="str">
        <f>IF(C479="","",VLOOKUP(C479,Background!$C$2:$D$7,2,FALSE))</f>
        <v/>
      </c>
    </row>
    <row r="480" spans="2:2" x14ac:dyDescent="0.25">
      <c r="B480" t="str">
        <f>IF(C480="","",VLOOKUP(C480,Background!$C$2:$D$7,2,FALSE))</f>
        <v/>
      </c>
    </row>
    <row r="481" spans="2:2" x14ac:dyDescent="0.25">
      <c r="B481" t="str">
        <f>IF(C481="","",VLOOKUP(C481,Background!$C$2:$D$7,2,FALSE))</f>
        <v/>
      </c>
    </row>
    <row r="482" spans="2:2" x14ac:dyDescent="0.25">
      <c r="B482" t="str">
        <f>IF(C482="","",VLOOKUP(C482,Background!$C$2:$D$7,2,FALSE))</f>
        <v/>
      </c>
    </row>
    <row r="483" spans="2:2" x14ac:dyDescent="0.25">
      <c r="B483" t="str">
        <f>IF(C483="","",VLOOKUP(C483,Background!$C$2:$D$7,2,FALSE))</f>
        <v/>
      </c>
    </row>
    <row r="484" spans="2:2" x14ac:dyDescent="0.25">
      <c r="B484" t="str">
        <f>IF(C484="","",VLOOKUP(C484,Background!$C$2:$D$7,2,FALSE))</f>
        <v/>
      </c>
    </row>
    <row r="485" spans="2:2" x14ac:dyDescent="0.25">
      <c r="B485" t="str">
        <f>IF(C485="","",VLOOKUP(C485,Background!$C$2:$D$7,2,FALSE))</f>
        <v/>
      </c>
    </row>
    <row r="486" spans="2:2" x14ac:dyDescent="0.25">
      <c r="B486" t="str">
        <f>IF(C486="","",VLOOKUP(C486,Background!$C$2:$D$7,2,FALSE))</f>
        <v/>
      </c>
    </row>
    <row r="487" spans="2:2" x14ac:dyDescent="0.25">
      <c r="B487" t="str">
        <f>IF(C487="","",VLOOKUP(C487,Background!$C$2:$D$7,2,FALSE))</f>
        <v/>
      </c>
    </row>
    <row r="488" spans="2:2" x14ac:dyDescent="0.25">
      <c r="B488" t="str">
        <f>IF(C488="","",VLOOKUP(C488,Background!$C$2:$D$7,2,FALSE))</f>
        <v/>
      </c>
    </row>
    <row r="489" spans="2:2" x14ac:dyDescent="0.25">
      <c r="B489" t="str">
        <f>IF(C489="","",VLOOKUP(C489,Background!$C$2:$D$7,2,FALSE))</f>
        <v/>
      </c>
    </row>
    <row r="490" spans="2:2" x14ac:dyDescent="0.25">
      <c r="B490" t="str">
        <f>IF(C490="","",VLOOKUP(C490,Background!$C$2:$D$7,2,FALSE))</f>
        <v/>
      </c>
    </row>
    <row r="491" spans="2:2" x14ac:dyDescent="0.25">
      <c r="B491" t="str">
        <f>IF(C491="","",VLOOKUP(C491,Background!$C$2:$D$7,2,FALSE))</f>
        <v/>
      </c>
    </row>
    <row r="492" spans="2:2" x14ac:dyDescent="0.25">
      <c r="B492" t="str">
        <f>IF(C492="","",VLOOKUP(C492,Background!$C$2:$D$7,2,FALSE))</f>
        <v/>
      </c>
    </row>
    <row r="493" spans="2:2" x14ac:dyDescent="0.25">
      <c r="B493" t="str">
        <f>IF(C493="","",VLOOKUP(C493,Background!$C$2:$D$7,2,FALSE))</f>
        <v/>
      </c>
    </row>
    <row r="494" spans="2:2" x14ac:dyDescent="0.25">
      <c r="B494" t="str">
        <f>IF(C494="","",VLOOKUP(C494,Background!$C$2:$D$7,2,FALSE))</f>
        <v/>
      </c>
    </row>
    <row r="495" spans="2:2" x14ac:dyDescent="0.25">
      <c r="B495" t="str">
        <f>IF(C495="","",VLOOKUP(C495,Background!$C$2:$D$7,2,FALSE))</f>
        <v/>
      </c>
    </row>
    <row r="496" spans="2:2" x14ac:dyDescent="0.25">
      <c r="B496" t="str">
        <f>IF(C496="","",VLOOKUP(C496,Background!$C$2:$D$7,2,FALSE))</f>
        <v/>
      </c>
    </row>
    <row r="497" spans="2:2" x14ac:dyDescent="0.25">
      <c r="B497" t="str">
        <f>IF(C497="","",VLOOKUP(C497,Background!$C$2:$D$7,2,FALSE))</f>
        <v/>
      </c>
    </row>
    <row r="498" spans="2:2" x14ac:dyDescent="0.25">
      <c r="B498" t="str">
        <f>IF(C498="","",VLOOKUP(C498,Background!$C$2:$D$7,2,FALSE))</f>
        <v/>
      </c>
    </row>
    <row r="499" spans="2:2" x14ac:dyDescent="0.25">
      <c r="B499" t="str">
        <f>IF(C499="","",VLOOKUP(C499,Background!$C$2:$D$7,2,FALSE))</f>
        <v/>
      </c>
    </row>
    <row r="500" spans="2:2" x14ac:dyDescent="0.25">
      <c r="B500" t="str">
        <f>IF(C500="","",VLOOKUP(C500,Background!$C$2:$D$7,2,FALSE))</f>
        <v/>
      </c>
    </row>
    <row r="501" spans="2:2" x14ac:dyDescent="0.25">
      <c r="B501" t="str">
        <f>IF(C501="","",VLOOKUP(C501,Background!$C$2:$D$7,2,FALSE))</f>
        <v/>
      </c>
    </row>
    <row r="502" spans="2:2" x14ac:dyDescent="0.25">
      <c r="B502" t="str">
        <f>IF(C502="","",VLOOKUP(C502,Background!$C$2:$D$7,2,FALSE))</f>
        <v/>
      </c>
    </row>
    <row r="503" spans="2:2" x14ac:dyDescent="0.25">
      <c r="B503" t="str">
        <f>IF(C503="","",VLOOKUP(C503,Background!$C$2:$D$7,2,FALSE))</f>
        <v/>
      </c>
    </row>
    <row r="504" spans="2:2" x14ac:dyDescent="0.25">
      <c r="B504" t="str">
        <f>IF(C504="","",VLOOKUP(C504,Background!$C$2:$D$7,2,FALSE))</f>
        <v/>
      </c>
    </row>
    <row r="505" spans="2:2" x14ac:dyDescent="0.25">
      <c r="B505" t="str">
        <f>IF(C505="","",VLOOKUP(C505,Background!$C$2:$D$7,2,FALSE))</f>
        <v/>
      </c>
    </row>
    <row r="506" spans="2:2" x14ac:dyDescent="0.25">
      <c r="B506" t="str">
        <f>IF(C506="","",VLOOKUP(C506,Background!$C$2:$D$7,2,FALSE))</f>
        <v/>
      </c>
    </row>
    <row r="507" spans="2:2" x14ac:dyDescent="0.25">
      <c r="B507" t="str">
        <f>IF(C507="","",VLOOKUP(C507,Background!$C$2:$D$7,2,FALSE))</f>
        <v/>
      </c>
    </row>
    <row r="508" spans="2:2" x14ac:dyDescent="0.25">
      <c r="B508" t="str">
        <f>IF(C508="","",VLOOKUP(C508,Background!$C$2:$D$7,2,FALSE))</f>
        <v/>
      </c>
    </row>
    <row r="509" spans="2:2" x14ac:dyDescent="0.25">
      <c r="B509" t="str">
        <f>IF(C509="","",VLOOKUP(C509,Background!$C$2:$D$7,2,FALSE))</f>
        <v/>
      </c>
    </row>
    <row r="510" spans="2:2" x14ac:dyDescent="0.25">
      <c r="B510" t="str">
        <f>IF(C510="","",VLOOKUP(C510,Background!$C$2:$D$7,2,FALSE))</f>
        <v/>
      </c>
    </row>
    <row r="511" spans="2:2" x14ac:dyDescent="0.25">
      <c r="B511" t="str">
        <f>IF(C511="","",VLOOKUP(C511,Background!$C$2:$D$7,2,FALSE))</f>
        <v/>
      </c>
    </row>
    <row r="512" spans="2:2" x14ac:dyDescent="0.25">
      <c r="B512" t="str">
        <f>IF(C512="","",VLOOKUP(C512,Background!$C$2:$D$7,2,FALSE))</f>
        <v/>
      </c>
    </row>
    <row r="513" spans="2:2" x14ac:dyDescent="0.25">
      <c r="B513" t="str">
        <f>IF(C513="","",VLOOKUP(C513,Background!$C$2:$D$7,2,FALSE))</f>
        <v/>
      </c>
    </row>
    <row r="514" spans="2:2" x14ac:dyDescent="0.25">
      <c r="B514" t="str">
        <f>IF(C514="","",VLOOKUP(C514,Background!$C$2:$D$7,2,FALSE))</f>
        <v/>
      </c>
    </row>
    <row r="515" spans="2:2" x14ac:dyDescent="0.25">
      <c r="B515" t="str">
        <f>IF(C515="","",VLOOKUP(C515,Background!$C$2:$D$7,2,FALSE))</f>
        <v/>
      </c>
    </row>
    <row r="516" spans="2:2" x14ac:dyDescent="0.25">
      <c r="B516" t="str">
        <f>IF(C516="","",VLOOKUP(C516,Background!$C$2:$D$7,2,FALSE))</f>
        <v/>
      </c>
    </row>
    <row r="517" spans="2:2" x14ac:dyDescent="0.25">
      <c r="B517" t="str">
        <f>IF(C517="","",VLOOKUP(C517,Background!$C$2:$D$7,2,FALSE))</f>
        <v/>
      </c>
    </row>
    <row r="518" spans="2:2" x14ac:dyDescent="0.25">
      <c r="B518" t="str">
        <f>IF(C518="","",VLOOKUP(C518,Background!$C$2:$D$7,2,FALSE))</f>
        <v/>
      </c>
    </row>
    <row r="519" spans="2:2" x14ac:dyDescent="0.25">
      <c r="B519" t="str">
        <f>IF(C519="","",VLOOKUP(C519,Background!$C$2:$D$7,2,FALSE))</f>
        <v/>
      </c>
    </row>
    <row r="520" spans="2:2" x14ac:dyDescent="0.25">
      <c r="B520" t="str">
        <f>IF(C520="","",VLOOKUP(C520,Background!$C$2:$D$7,2,FALSE))</f>
        <v/>
      </c>
    </row>
    <row r="521" spans="2:2" x14ac:dyDescent="0.25">
      <c r="B521" t="str">
        <f>IF(C521="","",VLOOKUP(C521,Background!$C$2:$D$7,2,FALSE))</f>
        <v/>
      </c>
    </row>
    <row r="522" spans="2:2" x14ac:dyDescent="0.25">
      <c r="B522" t="str">
        <f>IF(C522="","",VLOOKUP(C522,Background!$C$2:$D$7,2,FALSE))</f>
        <v/>
      </c>
    </row>
    <row r="523" spans="2:2" x14ac:dyDescent="0.25">
      <c r="B523" t="str">
        <f>IF(C523="","",VLOOKUP(C523,Background!$C$2:$D$7,2,FALSE))</f>
        <v/>
      </c>
    </row>
    <row r="524" spans="2:2" x14ac:dyDescent="0.25">
      <c r="B524" t="str">
        <f>IF(C524="","",VLOOKUP(C524,Background!$C$2:$D$7,2,FALSE))</f>
        <v/>
      </c>
    </row>
    <row r="525" spans="2:2" x14ac:dyDescent="0.25">
      <c r="B525" t="str">
        <f>IF(C525="","",VLOOKUP(C525,Background!$C$2:$D$7,2,FALSE))</f>
        <v/>
      </c>
    </row>
    <row r="526" spans="2:2" x14ac:dyDescent="0.25">
      <c r="B526" t="str">
        <f>IF(C526="","",VLOOKUP(C526,Background!$C$2:$D$7,2,FALSE))</f>
        <v/>
      </c>
    </row>
    <row r="527" spans="2:2" x14ac:dyDescent="0.25">
      <c r="B527" t="str">
        <f>IF(C527="","",VLOOKUP(C527,Background!$C$2:$D$7,2,FALSE))</f>
        <v/>
      </c>
    </row>
    <row r="528" spans="2:2" x14ac:dyDescent="0.25">
      <c r="B528" t="str">
        <f>IF(C528="","",VLOOKUP(C528,Background!$C$2:$D$7,2,FALSE))</f>
        <v/>
      </c>
    </row>
    <row r="529" spans="2:2" x14ac:dyDescent="0.25">
      <c r="B529" t="str">
        <f>IF(C529="","",VLOOKUP(C529,Background!$C$2:$D$7,2,FALSE))</f>
        <v/>
      </c>
    </row>
    <row r="530" spans="2:2" x14ac:dyDescent="0.25">
      <c r="B530" t="str">
        <f>IF(C530="","",VLOOKUP(C530,Background!$C$2:$D$7,2,FALSE))</f>
        <v/>
      </c>
    </row>
    <row r="531" spans="2:2" x14ac:dyDescent="0.25">
      <c r="B531" t="str">
        <f>IF(C531="","",VLOOKUP(C531,Background!$C$2:$D$7,2,FALSE))</f>
        <v/>
      </c>
    </row>
    <row r="532" spans="2:2" x14ac:dyDescent="0.25">
      <c r="B532" t="str">
        <f>IF(C532="","",VLOOKUP(C532,Background!$C$2:$D$7,2,FALSE))</f>
        <v/>
      </c>
    </row>
    <row r="533" spans="2:2" x14ac:dyDescent="0.25">
      <c r="B533" t="str">
        <f>IF(C533="","",VLOOKUP(C533,Background!$C$2:$D$7,2,FALSE))</f>
        <v/>
      </c>
    </row>
    <row r="534" spans="2:2" x14ac:dyDescent="0.25">
      <c r="B534" t="str">
        <f>IF(C534="","",VLOOKUP(C534,Background!$C$2:$D$7,2,FALSE))</f>
        <v/>
      </c>
    </row>
    <row r="535" spans="2:2" x14ac:dyDescent="0.25">
      <c r="B535" t="str">
        <f>IF(C535="","",VLOOKUP(C535,Background!$C$2:$D$7,2,FALSE))</f>
        <v/>
      </c>
    </row>
    <row r="536" spans="2:2" x14ac:dyDescent="0.25">
      <c r="B536" t="str">
        <f>IF(C536="","",VLOOKUP(C536,Background!$C$2:$D$7,2,FALSE))</f>
        <v/>
      </c>
    </row>
    <row r="537" spans="2:2" x14ac:dyDescent="0.25">
      <c r="B537" t="str">
        <f>IF(C537="","",VLOOKUP(C537,Background!$C$2:$D$7,2,FALSE))</f>
        <v/>
      </c>
    </row>
    <row r="538" spans="2:2" x14ac:dyDescent="0.25">
      <c r="B538" t="str">
        <f>IF(C538="","",VLOOKUP(C538,Background!$C$2:$D$7,2,FALSE))</f>
        <v/>
      </c>
    </row>
    <row r="539" spans="2:2" x14ac:dyDescent="0.25">
      <c r="B539" t="str">
        <f>IF(C539="","",VLOOKUP(C539,Background!$C$2:$D$7,2,FALSE))</f>
        <v/>
      </c>
    </row>
    <row r="540" spans="2:2" x14ac:dyDescent="0.25">
      <c r="B540" t="str">
        <f>IF(C540="","",VLOOKUP(C540,Background!$C$2:$D$7,2,FALSE))</f>
        <v/>
      </c>
    </row>
    <row r="541" spans="2:2" x14ac:dyDescent="0.25">
      <c r="B541" t="str">
        <f>IF(C541="","",VLOOKUP(C541,Background!$C$2:$D$7,2,FALSE))</f>
        <v/>
      </c>
    </row>
    <row r="542" spans="2:2" x14ac:dyDescent="0.25">
      <c r="B542" t="str">
        <f>IF(C542="","",VLOOKUP(C542,Background!$C$2:$D$7,2,FALSE))</f>
        <v/>
      </c>
    </row>
    <row r="543" spans="2:2" x14ac:dyDescent="0.25">
      <c r="B543" t="str">
        <f>IF(C543="","",VLOOKUP(C543,Background!$C$2:$D$7,2,FALSE))</f>
        <v/>
      </c>
    </row>
    <row r="544" spans="2:2" x14ac:dyDescent="0.25">
      <c r="B544" t="str">
        <f>IF(C544="","",VLOOKUP(C544,Background!$C$2:$D$7,2,FALSE))</f>
        <v/>
      </c>
    </row>
    <row r="545" spans="2:2" x14ac:dyDescent="0.25">
      <c r="B545" t="str">
        <f>IF(C545="","",VLOOKUP(C545,Background!$C$2:$D$7,2,FALSE))</f>
        <v/>
      </c>
    </row>
    <row r="546" spans="2:2" x14ac:dyDescent="0.25">
      <c r="B546" t="str">
        <f>IF(C546="","",VLOOKUP(C546,Background!$C$2:$D$7,2,FALSE))</f>
        <v/>
      </c>
    </row>
    <row r="547" spans="2:2" x14ac:dyDescent="0.25">
      <c r="B547" t="str">
        <f>IF(C547="","",VLOOKUP(C547,Background!$C$2:$D$7,2,FALSE))</f>
        <v/>
      </c>
    </row>
    <row r="548" spans="2:2" x14ac:dyDescent="0.25">
      <c r="B548" t="str">
        <f>IF(C548="","",VLOOKUP(C548,Background!$C$2:$D$7,2,FALSE))</f>
        <v/>
      </c>
    </row>
    <row r="549" spans="2:2" x14ac:dyDescent="0.25">
      <c r="B549" t="str">
        <f>IF(C549="","",VLOOKUP(C549,Background!$C$2:$D$7,2,FALSE))</f>
        <v/>
      </c>
    </row>
    <row r="550" spans="2:2" x14ac:dyDescent="0.25">
      <c r="B550" t="str">
        <f>IF(C550="","",VLOOKUP(C550,Background!$C$2:$D$7,2,FALSE))</f>
        <v/>
      </c>
    </row>
    <row r="551" spans="2:2" x14ac:dyDescent="0.25">
      <c r="B551" t="str">
        <f>IF(C551="","",VLOOKUP(C551,Background!$C$2:$D$7,2,FALSE))</f>
        <v/>
      </c>
    </row>
    <row r="552" spans="2:2" x14ac:dyDescent="0.25">
      <c r="B552" t="str">
        <f>IF(C552="","",VLOOKUP(C552,Background!$C$2:$D$7,2,FALSE))</f>
        <v/>
      </c>
    </row>
    <row r="553" spans="2:2" x14ac:dyDescent="0.25">
      <c r="B553" t="str">
        <f>IF(C553="","",VLOOKUP(C553,Background!$C$2:$D$7,2,FALSE))</f>
        <v/>
      </c>
    </row>
    <row r="554" spans="2:2" x14ac:dyDescent="0.25">
      <c r="B554" t="str">
        <f>IF(C554="","",VLOOKUP(C554,Background!$C$2:$D$7,2,FALSE))</f>
        <v/>
      </c>
    </row>
    <row r="555" spans="2:2" x14ac:dyDescent="0.25">
      <c r="B555" t="str">
        <f>IF(C555="","",VLOOKUP(C555,Background!$C$2:$D$7,2,FALSE))</f>
        <v/>
      </c>
    </row>
    <row r="556" spans="2:2" x14ac:dyDescent="0.25">
      <c r="B556" t="str">
        <f>IF(C556="","",VLOOKUP(C556,Background!$C$2:$D$7,2,FALSE))</f>
        <v/>
      </c>
    </row>
    <row r="557" spans="2:2" x14ac:dyDescent="0.25">
      <c r="B557" t="str">
        <f>IF(C557="","",VLOOKUP(C557,Background!$C$2:$D$7,2,FALSE))</f>
        <v/>
      </c>
    </row>
    <row r="558" spans="2:2" x14ac:dyDescent="0.25">
      <c r="B558" t="str">
        <f>IF(C558="","",VLOOKUP(C558,Background!$C$2:$D$7,2,FALSE))</f>
        <v/>
      </c>
    </row>
    <row r="559" spans="2:2" x14ac:dyDescent="0.25">
      <c r="B559" t="str">
        <f>IF(C559="","",VLOOKUP(C559,Background!$C$2:$D$7,2,FALSE))</f>
        <v/>
      </c>
    </row>
    <row r="560" spans="2:2" x14ac:dyDescent="0.25">
      <c r="B560" t="str">
        <f>IF(C560="","",VLOOKUP(C560,Background!$C$2:$D$7,2,FALSE))</f>
        <v/>
      </c>
    </row>
    <row r="561" spans="2:2" x14ac:dyDescent="0.25">
      <c r="B561" t="str">
        <f>IF(C561="","",VLOOKUP(C561,Background!$C$2:$D$7,2,FALSE))</f>
        <v/>
      </c>
    </row>
    <row r="562" spans="2:2" x14ac:dyDescent="0.25">
      <c r="B562" t="str">
        <f>IF(C562="","",VLOOKUP(C562,Background!$C$2:$D$7,2,FALSE))</f>
        <v/>
      </c>
    </row>
    <row r="563" spans="2:2" x14ac:dyDescent="0.25">
      <c r="B563" t="str">
        <f>IF(C563="","",VLOOKUP(C563,Background!$C$2:$D$7,2,FALSE))</f>
        <v/>
      </c>
    </row>
    <row r="564" spans="2:2" x14ac:dyDescent="0.25">
      <c r="B564" t="str">
        <f>IF(C564="","",VLOOKUP(C564,Background!$C$2:$D$7,2,FALSE))</f>
        <v/>
      </c>
    </row>
    <row r="565" spans="2:2" x14ac:dyDescent="0.25">
      <c r="B565" t="str">
        <f>IF(C565="","",VLOOKUP(C565,Background!$C$2:$D$7,2,FALSE))</f>
        <v/>
      </c>
    </row>
    <row r="566" spans="2:2" x14ac:dyDescent="0.25">
      <c r="B566" t="str">
        <f>IF(C566="","",VLOOKUP(C566,Background!$C$2:$D$7,2,FALSE))</f>
        <v/>
      </c>
    </row>
    <row r="567" spans="2:2" x14ac:dyDescent="0.25">
      <c r="B567" t="str">
        <f>IF(C567="","",VLOOKUP(C567,Background!$C$2:$D$7,2,FALSE))</f>
        <v/>
      </c>
    </row>
    <row r="568" spans="2:2" x14ac:dyDescent="0.25">
      <c r="B568" t="str">
        <f>IF(C568="","",VLOOKUP(C568,Background!$C$2:$D$7,2,FALSE))</f>
        <v/>
      </c>
    </row>
    <row r="569" spans="2:2" x14ac:dyDescent="0.25">
      <c r="B569" t="str">
        <f>IF(C569="","",VLOOKUP(C569,Background!$C$2:$D$7,2,FALSE))</f>
        <v/>
      </c>
    </row>
    <row r="570" spans="2:2" x14ac:dyDescent="0.25">
      <c r="B570" t="str">
        <f>IF(C570="","",VLOOKUP(C570,Background!$C$2:$D$7,2,FALSE))</f>
        <v/>
      </c>
    </row>
    <row r="571" spans="2:2" x14ac:dyDescent="0.25">
      <c r="B571" t="str">
        <f>IF(C571="","",VLOOKUP(C571,Background!$C$2:$D$7,2,FALSE))</f>
        <v/>
      </c>
    </row>
    <row r="572" spans="2:2" x14ac:dyDescent="0.25">
      <c r="B572" t="str">
        <f>IF(C572="","",VLOOKUP(C572,Background!$C$2:$D$7,2,FALSE))</f>
        <v/>
      </c>
    </row>
    <row r="573" spans="2:2" x14ac:dyDescent="0.25">
      <c r="B573" t="str">
        <f>IF(C573="","",VLOOKUP(C573,Background!$C$2:$D$7,2,FALSE))</f>
        <v/>
      </c>
    </row>
    <row r="574" spans="2:2" x14ac:dyDescent="0.25">
      <c r="B574" t="str">
        <f>IF(C574="","",VLOOKUP(C574,Background!$C$2:$D$7,2,FALSE))</f>
        <v/>
      </c>
    </row>
    <row r="575" spans="2:2" x14ac:dyDescent="0.25">
      <c r="B575" t="str">
        <f>IF(C575="","",VLOOKUP(C575,Background!$C$2:$D$7,2,FALSE))</f>
        <v/>
      </c>
    </row>
    <row r="576" spans="2:2" x14ac:dyDescent="0.25">
      <c r="B576" t="str">
        <f>IF(C576="","",VLOOKUP(C576,Background!$C$2:$D$7,2,FALSE))</f>
        <v/>
      </c>
    </row>
    <row r="577" spans="2:2" x14ac:dyDescent="0.25">
      <c r="B577" t="str">
        <f>IF(C577="","",VLOOKUP(C577,Background!$C$2:$D$7,2,FALSE))</f>
        <v/>
      </c>
    </row>
    <row r="578" spans="2:2" x14ac:dyDescent="0.25">
      <c r="B578" t="str">
        <f>IF(C578="","",VLOOKUP(C578,Background!$C$2:$D$7,2,FALSE))</f>
        <v/>
      </c>
    </row>
    <row r="579" spans="2:2" x14ac:dyDescent="0.25">
      <c r="B579" t="str">
        <f>IF(C579="","",VLOOKUP(C579,Background!$C$2:$D$7,2,FALSE))</f>
        <v/>
      </c>
    </row>
    <row r="580" spans="2:2" x14ac:dyDescent="0.25">
      <c r="B580" t="str">
        <f>IF(C580="","",VLOOKUP(C580,Background!$C$2:$D$7,2,FALSE))</f>
        <v/>
      </c>
    </row>
    <row r="581" spans="2:2" x14ac:dyDescent="0.25">
      <c r="B581" t="str">
        <f>IF(C581="","",VLOOKUP(C581,Background!$C$2:$D$7,2,FALSE))</f>
        <v/>
      </c>
    </row>
    <row r="582" spans="2:2" x14ac:dyDescent="0.25">
      <c r="B582" t="str">
        <f>IF(C582="","",VLOOKUP(C582,Background!$C$2:$D$7,2,FALSE))</f>
        <v/>
      </c>
    </row>
    <row r="583" spans="2:2" x14ac:dyDescent="0.25">
      <c r="B583" t="str">
        <f>IF(C583="","",VLOOKUP(C583,Background!$C$2:$D$7,2,FALSE))</f>
        <v/>
      </c>
    </row>
    <row r="584" spans="2:2" x14ac:dyDescent="0.25">
      <c r="B584" t="str">
        <f>IF(C584="","",VLOOKUP(C584,Background!$C$2:$D$7,2,FALSE))</f>
        <v/>
      </c>
    </row>
    <row r="585" spans="2:2" x14ac:dyDescent="0.25">
      <c r="B585" t="str">
        <f>IF(C585="","",VLOOKUP(C585,Background!$C$2:$D$7,2,FALSE))</f>
        <v/>
      </c>
    </row>
    <row r="586" spans="2:2" x14ac:dyDescent="0.25">
      <c r="B586" t="str">
        <f>IF(C586="","",VLOOKUP(C586,Background!$C$2:$D$7,2,FALSE))</f>
        <v/>
      </c>
    </row>
    <row r="587" spans="2:2" x14ac:dyDescent="0.25">
      <c r="B587" t="str">
        <f>IF(C587="","",VLOOKUP(C587,Background!$C$2:$D$7,2,FALSE))</f>
        <v/>
      </c>
    </row>
    <row r="588" spans="2:2" x14ac:dyDescent="0.25">
      <c r="B588" t="str">
        <f>IF(C588="","",VLOOKUP(C588,Background!$C$2:$D$7,2,FALSE))</f>
        <v/>
      </c>
    </row>
    <row r="589" spans="2:2" x14ac:dyDescent="0.25">
      <c r="B589" t="str">
        <f>IF(C589="","",VLOOKUP(C589,Background!$C$2:$D$7,2,FALSE))</f>
        <v/>
      </c>
    </row>
    <row r="590" spans="2:2" x14ac:dyDescent="0.25">
      <c r="B590" t="str">
        <f>IF(C590="","",VLOOKUP(C590,Background!$C$2:$D$7,2,FALSE))</f>
        <v/>
      </c>
    </row>
    <row r="591" spans="2:2" x14ac:dyDescent="0.25">
      <c r="B591" t="str">
        <f>IF(C591="","",VLOOKUP(C591,Background!$C$2:$D$7,2,FALSE))</f>
        <v/>
      </c>
    </row>
    <row r="592" spans="2:2" x14ac:dyDescent="0.25">
      <c r="B592" t="str">
        <f>IF(C592="","",VLOOKUP(C592,Background!$C$2:$D$7,2,FALSE))</f>
        <v/>
      </c>
    </row>
    <row r="593" spans="2:2" x14ac:dyDescent="0.25">
      <c r="B593" t="str">
        <f>IF(C593="","",VLOOKUP(C593,Background!$C$2:$D$7,2,FALSE))</f>
        <v/>
      </c>
    </row>
    <row r="594" spans="2:2" x14ac:dyDescent="0.25">
      <c r="B594" t="str">
        <f>IF(C594="","",VLOOKUP(C594,Background!$C$2:$D$7,2,FALSE))</f>
        <v/>
      </c>
    </row>
    <row r="595" spans="2:2" x14ac:dyDescent="0.25">
      <c r="B595" t="str">
        <f>IF(C595="","",VLOOKUP(C595,Background!$C$2:$D$7,2,FALSE))</f>
        <v/>
      </c>
    </row>
    <row r="596" spans="2:2" x14ac:dyDescent="0.25">
      <c r="B596" t="str">
        <f>IF(C596="","",VLOOKUP(C596,Background!$C$2:$D$7,2,FALSE))</f>
        <v/>
      </c>
    </row>
    <row r="597" spans="2:2" x14ac:dyDescent="0.25">
      <c r="B597" t="str">
        <f>IF(C597="","",VLOOKUP(C597,Background!$C$2:$D$7,2,FALSE))</f>
        <v/>
      </c>
    </row>
    <row r="598" spans="2:2" x14ac:dyDescent="0.25">
      <c r="B598" t="str">
        <f>IF(C598="","",VLOOKUP(C598,Background!$C$2:$D$7,2,FALSE))</f>
        <v/>
      </c>
    </row>
    <row r="599" spans="2:2" x14ac:dyDescent="0.25">
      <c r="B599" t="str">
        <f>IF(C599="","",VLOOKUP(C599,Background!$C$2:$D$7,2,FALSE))</f>
        <v/>
      </c>
    </row>
    <row r="600" spans="2:2" x14ac:dyDescent="0.25">
      <c r="B600" t="str">
        <f>IF(C600="","",VLOOKUP(C600,Background!$C$2:$D$7,2,FALSE))</f>
        <v/>
      </c>
    </row>
    <row r="601" spans="2:2" x14ac:dyDescent="0.25">
      <c r="B601" t="str">
        <f>IF(C601="","",VLOOKUP(C601,Background!$C$2:$D$7,2,FALSE))</f>
        <v/>
      </c>
    </row>
    <row r="602" spans="2:2" x14ac:dyDescent="0.25">
      <c r="B602" t="str">
        <f>IF(C602="","",VLOOKUP(C602,Background!$C$2:$D$7,2,FALSE))</f>
        <v/>
      </c>
    </row>
    <row r="603" spans="2:2" x14ac:dyDescent="0.25">
      <c r="B603" t="str">
        <f>IF(C603="","",VLOOKUP(C603,Background!$C$2:$D$7,2,FALSE))</f>
        <v/>
      </c>
    </row>
    <row r="604" spans="2:2" x14ac:dyDescent="0.25">
      <c r="B604" t="str">
        <f>IF(C604="","",VLOOKUP(C604,Background!$C$2:$D$7,2,FALSE))</f>
        <v/>
      </c>
    </row>
    <row r="605" spans="2:2" x14ac:dyDescent="0.25">
      <c r="B605" t="str">
        <f>IF(C605="","",VLOOKUP(C605,Background!$C$2:$D$7,2,FALSE))</f>
        <v/>
      </c>
    </row>
    <row r="606" spans="2:2" x14ac:dyDescent="0.25">
      <c r="B606" t="str">
        <f>IF(C606="","",VLOOKUP(C606,Background!$C$2:$D$7,2,FALSE))</f>
        <v/>
      </c>
    </row>
    <row r="607" spans="2:2" x14ac:dyDescent="0.25">
      <c r="B607" t="str">
        <f>IF(C607="","",VLOOKUP(C607,Background!$C$2:$D$7,2,FALSE))</f>
        <v/>
      </c>
    </row>
    <row r="608" spans="2:2" x14ac:dyDescent="0.25">
      <c r="B608" t="str">
        <f>IF(C608="","",VLOOKUP(C608,Background!$C$2:$D$7,2,FALSE))</f>
        <v/>
      </c>
    </row>
    <row r="609" spans="2:2" x14ac:dyDescent="0.25">
      <c r="B609" t="str">
        <f>IF(C609="","",VLOOKUP(C609,Background!$C$2:$D$7,2,FALSE))</f>
        <v/>
      </c>
    </row>
    <row r="610" spans="2:2" x14ac:dyDescent="0.25">
      <c r="B610" t="str">
        <f>IF(C610="","",VLOOKUP(C610,Background!$C$2:$D$7,2,FALSE))</f>
        <v/>
      </c>
    </row>
    <row r="611" spans="2:2" x14ac:dyDescent="0.25">
      <c r="B611" t="str">
        <f>IF(C611="","",VLOOKUP(C611,Background!$C$2:$D$7,2,FALSE))</f>
        <v/>
      </c>
    </row>
    <row r="612" spans="2:2" x14ac:dyDescent="0.25">
      <c r="B612" t="str">
        <f>IF(C612="","",VLOOKUP(C612,Background!$C$2:$D$7,2,FALSE))</f>
        <v/>
      </c>
    </row>
    <row r="613" spans="2:2" x14ac:dyDescent="0.25">
      <c r="B613" t="str">
        <f>IF(C613="","",VLOOKUP(C613,Background!$C$2:$D$7,2,FALSE))</f>
        <v/>
      </c>
    </row>
    <row r="614" spans="2:2" x14ac:dyDescent="0.25">
      <c r="B614" t="str">
        <f>IF(C614="","",VLOOKUP(C614,Background!$C$2:$D$7,2,FALSE))</f>
        <v/>
      </c>
    </row>
    <row r="615" spans="2:2" x14ac:dyDescent="0.25">
      <c r="B615" t="str">
        <f>IF(C615="","",VLOOKUP(C615,Background!$C$2:$D$7,2,FALSE))</f>
        <v/>
      </c>
    </row>
    <row r="616" spans="2:2" x14ac:dyDescent="0.25">
      <c r="B616" t="str">
        <f>IF(C616="","",VLOOKUP(C616,Background!$C$2:$D$7,2,FALSE))</f>
        <v/>
      </c>
    </row>
    <row r="617" spans="2:2" x14ac:dyDescent="0.25">
      <c r="B617" t="str">
        <f>IF(C617="","",VLOOKUP(C617,Background!$C$2:$D$7,2,FALSE))</f>
        <v/>
      </c>
    </row>
    <row r="618" spans="2:2" x14ac:dyDescent="0.25">
      <c r="B618" t="str">
        <f>IF(C618="","",VLOOKUP(C618,Background!$C$2:$D$7,2,FALSE))</f>
        <v/>
      </c>
    </row>
    <row r="619" spans="2:2" x14ac:dyDescent="0.25">
      <c r="B619" t="str">
        <f>IF(C619="","",VLOOKUP(C619,Background!$C$2:$D$7,2,FALSE))</f>
        <v/>
      </c>
    </row>
    <row r="620" spans="2:2" x14ac:dyDescent="0.25">
      <c r="B620" t="str">
        <f>IF(C620="","",VLOOKUP(C620,Background!$C$2:$D$7,2,FALSE))</f>
        <v/>
      </c>
    </row>
    <row r="621" spans="2:2" x14ac:dyDescent="0.25">
      <c r="B621" t="str">
        <f>IF(C621="","",VLOOKUP(C621,Background!$C$2:$D$7,2,FALSE))</f>
        <v/>
      </c>
    </row>
    <row r="622" spans="2:2" x14ac:dyDescent="0.25">
      <c r="B622" t="str">
        <f>IF(C622="","",VLOOKUP(C622,Background!$C$2:$D$7,2,FALSE))</f>
        <v/>
      </c>
    </row>
    <row r="623" spans="2:2" x14ac:dyDescent="0.25">
      <c r="B623" t="str">
        <f>IF(C623="","",VLOOKUP(C623,Background!$C$2:$D$7,2,FALSE))</f>
        <v/>
      </c>
    </row>
    <row r="624" spans="2:2" x14ac:dyDescent="0.25">
      <c r="B624" t="str">
        <f>IF(C624="","",VLOOKUP(C624,Background!$C$2:$D$7,2,FALSE))</f>
        <v/>
      </c>
    </row>
    <row r="625" spans="2:2" x14ac:dyDescent="0.25">
      <c r="B625" t="str">
        <f>IF(C625="","",VLOOKUP(C625,Background!$C$2:$D$7,2,FALSE))</f>
        <v/>
      </c>
    </row>
    <row r="626" spans="2:2" x14ac:dyDescent="0.25">
      <c r="B626" t="str">
        <f>IF(C626="","",VLOOKUP(C626,Background!$C$2:$D$7,2,FALSE))</f>
        <v/>
      </c>
    </row>
    <row r="627" spans="2:2" x14ac:dyDescent="0.25">
      <c r="B627" t="str">
        <f>IF(C627="","",VLOOKUP(C627,Background!$C$2:$D$7,2,FALSE))</f>
        <v/>
      </c>
    </row>
    <row r="628" spans="2:2" x14ac:dyDescent="0.25">
      <c r="B628" t="str">
        <f>IF(C628="","",VLOOKUP(C628,Background!$C$2:$D$7,2,FALSE))</f>
        <v/>
      </c>
    </row>
    <row r="629" spans="2:2" x14ac:dyDescent="0.25">
      <c r="B629" t="str">
        <f>IF(C629="","",VLOOKUP(C629,Background!$C$2:$D$7,2,FALSE))</f>
        <v/>
      </c>
    </row>
    <row r="630" spans="2:2" x14ac:dyDescent="0.25">
      <c r="B630" t="str">
        <f>IF(C630="","",VLOOKUP(C630,Background!$C$2:$D$7,2,FALSE))</f>
        <v/>
      </c>
    </row>
    <row r="631" spans="2:2" x14ac:dyDescent="0.25">
      <c r="B631" t="str">
        <f>IF(C631="","",VLOOKUP(C631,Background!$C$2:$D$7,2,FALSE))</f>
        <v/>
      </c>
    </row>
    <row r="632" spans="2:2" x14ac:dyDescent="0.25">
      <c r="B632" t="str">
        <f>IF(C632="","",VLOOKUP(C632,Background!$C$2:$D$7,2,FALSE))</f>
        <v/>
      </c>
    </row>
    <row r="633" spans="2:2" x14ac:dyDescent="0.25">
      <c r="B633" t="str">
        <f>IF(C633="","",VLOOKUP(C633,Background!$C$2:$D$7,2,FALSE))</f>
        <v/>
      </c>
    </row>
    <row r="634" spans="2:2" x14ac:dyDescent="0.25">
      <c r="B634" t="str">
        <f>IF(C634="","",VLOOKUP(C634,Background!$C$2:$D$7,2,FALSE))</f>
        <v/>
      </c>
    </row>
    <row r="635" spans="2:2" x14ac:dyDescent="0.25">
      <c r="B635" t="str">
        <f>IF(C635="","",VLOOKUP(C635,Background!$C$2:$D$7,2,FALSE))</f>
        <v/>
      </c>
    </row>
    <row r="636" spans="2:2" x14ac:dyDescent="0.25">
      <c r="B636" t="str">
        <f>IF(C636="","",VLOOKUP(C636,Background!$C$2:$D$7,2,FALSE))</f>
        <v/>
      </c>
    </row>
    <row r="637" spans="2:2" x14ac:dyDescent="0.25">
      <c r="B637" t="str">
        <f>IF(C637="","",VLOOKUP(C637,Background!$C$2:$D$7,2,FALSE))</f>
        <v/>
      </c>
    </row>
    <row r="638" spans="2:2" x14ac:dyDescent="0.25">
      <c r="B638" t="str">
        <f>IF(C638="","",VLOOKUP(C638,Background!$C$2:$D$7,2,FALSE))</f>
        <v/>
      </c>
    </row>
    <row r="639" spans="2:2" x14ac:dyDescent="0.25">
      <c r="B639" t="str">
        <f>IF(C639="","",VLOOKUP(C639,Background!$C$2:$D$7,2,FALSE))</f>
        <v/>
      </c>
    </row>
    <row r="640" spans="2:2" x14ac:dyDescent="0.25">
      <c r="B640" t="str">
        <f>IF(C640="","",VLOOKUP(C640,Background!$C$2:$D$7,2,FALSE))</f>
        <v/>
      </c>
    </row>
    <row r="641" spans="2:2" x14ac:dyDescent="0.25">
      <c r="B641" t="str">
        <f>IF(C641="","",VLOOKUP(C641,Background!$C$2:$D$7,2,FALSE))</f>
        <v/>
      </c>
    </row>
    <row r="642" spans="2:2" x14ac:dyDescent="0.25">
      <c r="B642" t="str">
        <f>IF(C642="","",VLOOKUP(C642,Background!$C$2:$D$7,2,FALSE))</f>
        <v/>
      </c>
    </row>
    <row r="643" spans="2:2" x14ac:dyDescent="0.25">
      <c r="B643" t="str">
        <f>IF(C643="","",VLOOKUP(C643,Background!$C$2:$D$7,2,FALSE))</f>
        <v/>
      </c>
    </row>
    <row r="644" spans="2:2" x14ac:dyDescent="0.25">
      <c r="B644" t="str">
        <f>IF(C644="","",VLOOKUP(C644,Background!$C$2:$D$7,2,FALSE))</f>
        <v/>
      </c>
    </row>
    <row r="645" spans="2:2" x14ac:dyDescent="0.25">
      <c r="B645" t="str">
        <f>IF(C645="","",VLOOKUP(C645,Background!$C$2:$D$7,2,FALSE))</f>
        <v/>
      </c>
    </row>
    <row r="646" spans="2:2" x14ac:dyDescent="0.25">
      <c r="B646" t="str">
        <f>IF(C646="","",VLOOKUP(C646,Background!$C$2:$D$7,2,FALSE))</f>
        <v/>
      </c>
    </row>
    <row r="647" spans="2:2" x14ac:dyDescent="0.25">
      <c r="B647" t="str">
        <f>IF(C647="","",VLOOKUP(C647,Background!$C$2:$D$7,2,FALSE))</f>
        <v/>
      </c>
    </row>
    <row r="648" spans="2:2" x14ac:dyDescent="0.25">
      <c r="B648" t="str">
        <f>IF(C648="","",VLOOKUP(C648,Background!$C$2:$D$7,2,FALSE))</f>
        <v/>
      </c>
    </row>
    <row r="649" spans="2:2" x14ac:dyDescent="0.25">
      <c r="B649" t="str">
        <f>IF(C649="","",VLOOKUP(C649,Background!$C$2:$D$7,2,FALSE))</f>
        <v/>
      </c>
    </row>
    <row r="650" spans="2:2" x14ac:dyDescent="0.25">
      <c r="B650" t="str">
        <f>IF(C650="","",VLOOKUP(C650,Background!$C$2:$D$7,2,FALSE))</f>
        <v/>
      </c>
    </row>
    <row r="651" spans="2:2" x14ac:dyDescent="0.25">
      <c r="B651" t="str">
        <f>IF(C651="","",VLOOKUP(C651,Background!$C$2:$D$7,2,FALSE))</f>
        <v/>
      </c>
    </row>
    <row r="652" spans="2:2" x14ac:dyDescent="0.25">
      <c r="B652" t="str">
        <f>IF(C652="","",VLOOKUP(C652,Background!$C$2:$D$7,2,FALSE))</f>
        <v/>
      </c>
    </row>
    <row r="653" spans="2:2" x14ac:dyDescent="0.25">
      <c r="B653" t="str">
        <f>IF(C653="","",VLOOKUP(C653,Background!$C$2:$D$7,2,FALSE))</f>
        <v/>
      </c>
    </row>
    <row r="654" spans="2:2" x14ac:dyDescent="0.25">
      <c r="B654" t="str">
        <f>IF(C654="","",VLOOKUP(C654,Background!$C$2:$D$7,2,FALSE))</f>
        <v/>
      </c>
    </row>
    <row r="655" spans="2:2" x14ac:dyDescent="0.25">
      <c r="B655" t="str">
        <f>IF(C655="","",VLOOKUP(C655,Background!$C$2:$D$7,2,FALSE))</f>
        <v/>
      </c>
    </row>
    <row r="656" spans="2:2" x14ac:dyDescent="0.25">
      <c r="B656" t="str">
        <f>IF(C656="","",VLOOKUP(C656,Background!$C$2:$D$7,2,FALSE))</f>
        <v/>
      </c>
    </row>
    <row r="657" spans="2:2" x14ac:dyDescent="0.25">
      <c r="B657" t="str">
        <f>IF(C657="","",VLOOKUP(C657,Background!$C$2:$D$7,2,FALSE))</f>
        <v/>
      </c>
    </row>
    <row r="658" spans="2:2" x14ac:dyDescent="0.25">
      <c r="B658" t="str">
        <f>IF(C658="","",VLOOKUP(C658,Background!$C$2:$D$7,2,FALSE))</f>
        <v/>
      </c>
    </row>
    <row r="659" spans="2:2" x14ac:dyDescent="0.25">
      <c r="B659" t="str">
        <f>IF(C659="","",VLOOKUP(C659,Background!$C$2:$D$7,2,FALSE))</f>
        <v/>
      </c>
    </row>
    <row r="660" spans="2:2" x14ac:dyDescent="0.25">
      <c r="B660" t="str">
        <f>IF(C660="","",VLOOKUP(C660,Background!$C$2:$D$7,2,FALSE))</f>
        <v/>
      </c>
    </row>
    <row r="661" spans="2:2" x14ac:dyDescent="0.25">
      <c r="B661" t="str">
        <f>IF(C661="","",VLOOKUP(C661,Background!$C$2:$D$7,2,FALSE))</f>
        <v/>
      </c>
    </row>
    <row r="662" spans="2:2" x14ac:dyDescent="0.25">
      <c r="B662" t="str">
        <f>IF(C662="","",VLOOKUP(C662,Background!$C$2:$D$7,2,FALSE))</f>
        <v/>
      </c>
    </row>
    <row r="663" spans="2:2" x14ac:dyDescent="0.25">
      <c r="B663" t="str">
        <f>IF(C663="","",VLOOKUP(C663,Background!$C$2:$D$7,2,FALSE))</f>
        <v/>
      </c>
    </row>
    <row r="664" spans="2:2" x14ac:dyDescent="0.25">
      <c r="B664" t="str">
        <f>IF(C664="","",VLOOKUP(C664,Background!$C$2:$D$7,2,FALSE))</f>
        <v/>
      </c>
    </row>
    <row r="665" spans="2:2" x14ac:dyDescent="0.25">
      <c r="B665" t="str">
        <f>IF(C665="","",VLOOKUP(C665,Background!$C$2:$D$7,2,FALSE))</f>
        <v/>
      </c>
    </row>
    <row r="666" spans="2:2" x14ac:dyDescent="0.25">
      <c r="B666" t="str">
        <f>IF(C666="","",VLOOKUP(C666,Background!$C$2:$D$7,2,FALSE))</f>
        <v/>
      </c>
    </row>
    <row r="667" spans="2:2" x14ac:dyDescent="0.25">
      <c r="B667" t="str">
        <f>IF(C667="","",VLOOKUP(C667,Background!$C$2:$D$7,2,FALSE))</f>
        <v/>
      </c>
    </row>
    <row r="668" spans="2:2" x14ac:dyDescent="0.25">
      <c r="B668" t="str">
        <f>IF(C668="","",VLOOKUP(C668,Background!$C$2:$D$7,2,FALSE))</f>
        <v/>
      </c>
    </row>
    <row r="669" spans="2:2" x14ac:dyDescent="0.25">
      <c r="B669" t="str">
        <f>IF(C669="","",VLOOKUP(C669,Background!$C$2:$D$7,2,FALSE))</f>
        <v/>
      </c>
    </row>
    <row r="670" spans="2:2" x14ac:dyDescent="0.25">
      <c r="B670" t="str">
        <f>IF(C670="","",VLOOKUP(C670,Background!$C$2:$D$7,2,FALSE))</f>
        <v/>
      </c>
    </row>
    <row r="671" spans="2:2" x14ac:dyDescent="0.25">
      <c r="B671" t="str">
        <f>IF(C671="","",VLOOKUP(C671,Background!$C$2:$D$7,2,FALSE))</f>
        <v/>
      </c>
    </row>
    <row r="672" spans="2:2" x14ac:dyDescent="0.25">
      <c r="B672" t="str">
        <f>IF(C672="","",VLOOKUP(C672,Background!$C$2:$D$7,2,FALSE))</f>
        <v/>
      </c>
    </row>
    <row r="673" spans="2:2" x14ac:dyDescent="0.25">
      <c r="B673" t="str">
        <f>IF(C673="","",VLOOKUP(C673,Background!$C$2:$D$7,2,FALSE))</f>
        <v/>
      </c>
    </row>
    <row r="674" spans="2:2" x14ac:dyDescent="0.25">
      <c r="B674" t="str">
        <f>IF(C674="","",VLOOKUP(C674,Background!$C$2:$D$7,2,FALSE))</f>
        <v/>
      </c>
    </row>
    <row r="675" spans="2:2" x14ac:dyDescent="0.25">
      <c r="B675" t="str">
        <f>IF(C675="","",VLOOKUP(C675,Background!$C$2:$D$7,2,FALSE))</f>
        <v/>
      </c>
    </row>
    <row r="676" spans="2:2" x14ac:dyDescent="0.25">
      <c r="B676" t="str">
        <f>IF(C676="","",VLOOKUP(C676,Background!$C$2:$D$7,2,FALSE))</f>
        <v/>
      </c>
    </row>
    <row r="677" spans="2:2" x14ac:dyDescent="0.25">
      <c r="B677" t="str">
        <f>IF(C677="","",VLOOKUP(C677,Background!$C$2:$D$7,2,FALSE))</f>
        <v/>
      </c>
    </row>
    <row r="678" spans="2:2" x14ac:dyDescent="0.25">
      <c r="B678" t="str">
        <f>IF(C678="","",VLOOKUP(C678,Background!$C$2:$D$7,2,FALSE))</f>
        <v/>
      </c>
    </row>
    <row r="679" spans="2:2" x14ac:dyDescent="0.25">
      <c r="B679" t="str">
        <f>IF(C679="","",VLOOKUP(C679,Background!$C$2:$D$7,2,FALSE))</f>
        <v/>
      </c>
    </row>
    <row r="680" spans="2:2" x14ac:dyDescent="0.25">
      <c r="B680" t="str">
        <f>IF(C680="","",VLOOKUP(C680,Background!$C$2:$D$7,2,FALSE))</f>
        <v/>
      </c>
    </row>
    <row r="681" spans="2:2" x14ac:dyDescent="0.25">
      <c r="B681" t="str">
        <f>IF(C681="","",VLOOKUP(C681,Background!$C$2:$D$7,2,FALSE))</f>
        <v/>
      </c>
    </row>
    <row r="682" spans="2:2" x14ac:dyDescent="0.25">
      <c r="B682" t="str">
        <f>IF(C682="","",VLOOKUP(C682,Background!$C$2:$D$7,2,FALSE))</f>
        <v/>
      </c>
    </row>
    <row r="683" spans="2:2" x14ac:dyDescent="0.25">
      <c r="B683" t="str">
        <f>IF(C683="","",VLOOKUP(C683,Background!$C$2:$D$7,2,FALSE))</f>
        <v/>
      </c>
    </row>
    <row r="684" spans="2:2" x14ac:dyDescent="0.25">
      <c r="B684" t="str">
        <f>IF(C684="","",VLOOKUP(C684,Background!$C$2:$D$7,2,FALSE))</f>
        <v/>
      </c>
    </row>
    <row r="685" spans="2:2" x14ac:dyDescent="0.25">
      <c r="B685" t="str">
        <f>IF(C685="","",VLOOKUP(C685,Background!$C$2:$D$7,2,FALSE))</f>
        <v/>
      </c>
    </row>
    <row r="686" spans="2:2" x14ac:dyDescent="0.25">
      <c r="B686" t="str">
        <f>IF(C686="","",VLOOKUP(C686,Background!$C$2:$D$7,2,FALSE))</f>
        <v/>
      </c>
    </row>
    <row r="687" spans="2:2" x14ac:dyDescent="0.25">
      <c r="B687" t="str">
        <f>IF(C687="","",VLOOKUP(C687,Background!$C$2:$D$7,2,FALSE))</f>
        <v/>
      </c>
    </row>
    <row r="688" spans="2:2" x14ac:dyDescent="0.25">
      <c r="B688" t="str">
        <f>IF(C688="","",VLOOKUP(C688,Background!$C$2:$D$7,2,FALSE))</f>
        <v/>
      </c>
    </row>
    <row r="689" spans="2:2" x14ac:dyDescent="0.25">
      <c r="B689" t="str">
        <f>IF(C689="","",VLOOKUP(C689,Background!$C$2:$D$7,2,FALSE))</f>
        <v/>
      </c>
    </row>
    <row r="690" spans="2:2" x14ac:dyDescent="0.25">
      <c r="B690" t="str">
        <f>IF(C690="","",VLOOKUP(C690,Background!$C$2:$D$7,2,FALSE))</f>
        <v/>
      </c>
    </row>
    <row r="691" spans="2:2" x14ac:dyDescent="0.25">
      <c r="B691" t="str">
        <f>IF(C691="","",VLOOKUP(C691,Background!$C$2:$D$7,2,FALSE))</f>
        <v/>
      </c>
    </row>
    <row r="692" spans="2:2" x14ac:dyDescent="0.25">
      <c r="B692" t="str">
        <f>IF(C692="","",VLOOKUP(C692,Background!$C$2:$D$7,2,FALSE))</f>
        <v/>
      </c>
    </row>
    <row r="693" spans="2:2" x14ac:dyDescent="0.25">
      <c r="B693" t="str">
        <f>IF(C693="","",VLOOKUP(C693,Background!$C$2:$D$7,2,FALSE))</f>
        <v/>
      </c>
    </row>
    <row r="694" spans="2:2" x14ac:dyDescent="0.25">
      <c r="B694" t="str">
        <f>IF(C694="","",VLOOKUP(C694,Background!$C$2:$D$7,2,FALSE))</f>
        <v/>
      </c>
    </row>
    <row r="695" spans="2:2" x14ac:dyDescent="0.25">
      <c r="B695" t="str">
        <f>IF(C695="","",VLOOKUP(C695,Background!$C$2:$D$7,2,FALSE))</f>
        <v/>
      </c>
    </row>
    <row r="696" spans="2:2" x14ac:dyDescent="0.25">
      <c r="B696" t="str">
        <f>IF(C696="","",VLOOKUP(C696,Background!$C$2:$D$7,2,FALSE))</f>
        <v/>
      </c>
    </row>
    <row r="697" spans="2:2" x14ac:dyDescent="0.25">
      <c r="B697" t="str">
        <f>IF(C697="","",VLOOKUP(C697,Background!$C$2:$D$7,2,FALSE))</f>
        <v/>
      </c>
    </row>
    <row r="698" spans="2:2" x14ac:dyDescent="0.25">
      <c r="B698" t="str">
        <f>IF(C698="","",VLOOKUP(C698,Background!$C$2:$D$7,2,FALSE))</f>
        <v/>
      </c>
    </row>
    <row r="699" spans="2:2" x14ac:dyDescent="0.25">
      <c r="B699" t="str">
        <f>IF(C699="","",VLOOKUP(C699,Background!$C$2:$D$7,2,FALSE))</f>
        <v/>
      </c>
    </row>
    <row r="700" spans="2:2" x14ac:dyDescent="0.25">
      <c r="B700" t="str">
        <f>IF(C700="","",VLOOKUP(C700,Background!$C$2:$D$7,2,FALSE))</f>
        <v/>
      </c>
    </row>
    <row r="701" spans="2:2" x14ac:dyDescent="0.25">
      <c r="B701" t="str">
        <f>IF(C701="","",VLOOKUP(C701,Background!$C$2:$D$7,2,FALSE))</f>
        <v/>
      </c>
    </row>
    <row r="702" spans="2:2" x14ac:dyDescent="0.25">
      <c r="B702" t="str">
        <f>IF(C702="","",VLOOKUP(C702,Background!$C$2:$D$7,2,FALSE))</f>
        <v/>
      </c>
    </row>
    <row r="703" spans="2:2" x14ac:dyDescent="0.25">
      <c r="B703" t="str">
        <f>IF(C703="","",VLOOKUP(C703,Background!$C$2:$D$7,2,FALSE))</f>
        <v/>
      </c>
    </row>
    <row r="704" spans="2:2" x14ac:dyDescent="0.25">
      <c r="B704" t="str">
        <f>IF(C704="","",VLOOKUP(C704,Background!$C$2:$D$7,2,FALSE))</f>
        <v/>
      </c>
    </row>
    <row r="705" spans="2:2" x14ac:dyDescent="0.25">
      <c r="B705" t="str">
        <f>IF(C705="","",VLOOKUP(C705,Background!$C$2:$D$7,2,FALSE))</f>
        <v/>
      </c>
    </row>
    <row r="706" spans="2:2" x14ac:dyDescent="0.25">
      <c r="B706" t="str">
        <f>IF(C706="","",VLOOKUP(C706,Background!$C$2:$D$7,2,FALSE))</f>
        <v/>
      </c>
    </row>
    <row r="707" spans="2:2" x14ac:dyDescent="0.25">
      <c r="B707" t="str">
        <f>IF(C707="","",VLOOKUP(C707,Background!$C$2:$D$7,2,FALSE))</f>
        <v/>
      </c>
    </row>
    <row r="708" spans="2:2" x14ac:dyDescent="0.25">
      <c r="B708" t="str">
        <f>IF(C708="","",VLOOKUP(C708,Background!$C$2:$D$7,2,FALSE))</f>
        <v/>
      </c>
    </row>
    <row r="709" spans="2:2" x14ac:dyDescent="0.25">
      <c r="B709" t="str">
        <f>IF(C709="","",VLOOKUP(C709,Background!$C$2:$D$7,2,FALSE))</f>
        <v/>
      </c>
    </row>
    <row r="710" spans="2:2" x14ac:dyDescent="0.25">
      <c r="B710" t="str">
        <f>IF(C710="","",VLOOKUP(C710,Background!$C$2:$D$7,2,FALSE))</f>
        <v/>
      </c>
    </row>
    <row r="711" spans="2:2" x14ac:dyDescent="0.25">
      <c r="B711" t="str">
        <f>IF(C711="","",VLOOKUP(C711,Background!$C$2:$D$7,2,FALSE))</f>
        <v/>
      </c>
    </row>
    <row r="712" spans="2:2" x14ac:dyDescent="0.25">
      <c r="B712" t="str">
        <f>IF(C712="","",VLOOKUP(C712,Background!$C$2:$D$7,2,FALSE))</f>
        <v/>
      </c>
    </row>
    <row r="713" spans="2:2" x14ac:dyDescent="0.25">
      <c r="B713" t="str">
        <f>IF(C713="","",VLOOKUP(C713,Background!$C$2:$D$7,2,FALSE))</f>
        <v/>
      </c>
    </row>
    <row r="714" spans="2:2" x14ac:dyDescent="0.25">
      <c r="B714" t="str">
        <f>IF(C714="","",VLOOKUP(C714,Background!$C$2:$D$7,2,FALSE))</f>
        <v/>
      </c>
    </row>
    <row r="715" spans="2:2" x14ac:dyDescent="0.25">
      <c r="B715" t="str">
        <f>IF(C715="","",VLOOKUP(C715,Background!$C$2:$D$7,2,FALSE))</f>
        <v/>
      </c>
    </row>
    <row r="716" spans="2:2" x14ac:dyDescent="0.25">
      <c r="B716" t="str">
        <f>IF(C716="","",VLOOKUP(C716,Background!$C$2:$D$7,2,FALSE))</f>
        <v/>
      </c>
    </row>
    <row r="717" spans="2:2" x14ac:dyDescent="0.25">
      <c r="B717" t="str">
        <f>IF(C717="","",VLOOKUP(C717,Background!$C$2:$D$7,2,FALSE))</f>
        <v/>
      </c>
    </row>
    <row r="718" spans="2:2" x14ac:dyDescent="0.25">
      <c r="B718" t="str">
        <f>IF(C718="","",VLOOKUP(C718,Background!$C$2:$D$7,2,FALSE))</f>
        <v/>
      </c>
    </row>
    <row r="719" spans="2:2" x14ac:dyDescent="0.25">
      <c r="B719" t="str">
        <f>IF(C719="","",VLOOKUP(C719,Background!$C$2:$D$7,2,FALSE))</f>
        <v/>
      </c>
    </row>
    <row r="720" spans="2:2" x14ac:dyDescent="0.25">
      <c r="B720" t="str">
        <f>IF(C720="","",VLOOKUP(C720,Background!$C$2:$D$7,2,FALSE))</f>
        <v/>
      </c>
    </row>
    <row r="721" spans="2:2" x14ac:dyDescent="0.25">
      <c r="B721" t="str">
        <f>IF(C721="","",VLOOKUP(C721,Background!$C$2:$D$7,2,FALSE))</f>
        <v/>
      </c>
    </row>
    <row r="722" spans="2:2" x14ac:dyDescent="0.25">
      <c r="B722" t="str">
        <f>IF(C722="","",VLOOKUP(C722,Background!$C$2:$D$7,2,FALSE))</f>
        <v/>
      </c>
    </row>
    <row r="723" spans="2:2" x14ac:dyDescent="0.25">
      <c r="B723" t="str">
        <f>IF(C723="","",VLOOKUP(C723,Background!$C$2:$D$7,2,FALSE))</f>
        <v/>
      </c>
    </row>
    <row r="724" spans="2:2" x14ac:dyDescent="0.25">
      <c r="B724" t="str">
        <f>IF(C724="","",VLOOKUP(C724,Background!$C$2:$D$7,2,FALSE))</f>
        <v/>
      </c>
    </row>
    <row r="725" spans="2:2" x14ac:dyDescent="0.25">
      <c r="B725" t="str">
        <f>IF(C725="","",VLOOKUP(C725,Background!$C$2:$D$7,2,FALSE))</f>
        <v/>
      </c>
    </row>
    <row r="726" spans="2:2" x14ac:dyDescent="0.25">
      <c r="B726" t="str">
        <f>IF(C726="","",VLOOKUP(C726,Background!$C$2:$D$7,2,FALSE))</f>
        <v/>
      </c>
    </row>
    <row r="727" spans="2:2" x14ac:dyDescent="0.25">
      <c r="B727" t="str">
        <f>IF(C727="","",VLOOKUP(C727,Background!$C$2:$D$7,2,FALSE))</f>
        <v/>
      </c>
    </row>
    <row r="728" spans="2:2" x14ac:dyDescent="0.25">
      <c r="B728" t="str">
        <f>IF(C728="","",VLOOKUP(C728,Background!$C$2:$D$7,2,FALSE))</f>
        <v/>
      </c>
    </row>
    <row r="729" spans="2:2" x14ac:dyDescent="0.25">
      <c r="B729" t="str">
        <f>IF(C729="","",VLOOKUP(C729,Background!$C$2:$D$7,2,FALSE))</f>
        <v/>
      </c>
    </row>
    <row r="730" spans="2:2" x14ac:dyDescent="0.25">
      <c r="B730" t="str">
        <f>IF(C730="","",VLOOKUP(C730,Background!$C$2:$D$7,2,FALSE))</f>
        <v/>
      </c>
    </row>
    <row r="731" spans="2:2" x14ac:dyDescent="0.25">
      <c r="B731" t="str">
        <f>IF(C731="","",VLOOKUP(C731,Background!$C$2:$D$7,2,FALSE))</f>
        <v/>
      </c>
    </row>
    <row r="732" spans="2:2" x14ac:dyDescent="0.25">
      <c r="B732" t="str">
        <f>IF(C732="","",VLOOKUP(C732,Background!$C$2:$D$7,2,FALSE))</f>
        <v/>
      </c>
    </row>
    <row r="733" spans="2:2" x14ac:dyDescent="0.25">
      <c r="B733" t="str">
        <f>IF(C733="","",VLOOKUP(C733,Background!$C$2:$D$7,2,FALSE))</f>
        <v/>
      </c>
    </row>
    <row r="734" spans="2:2" x14ac:dyDescent="0.25">
      <c r="B734" t="str">
        <f>IF(C734="","",VLOOKUP(C734,Background!$C$2:$D$7,2,FALSE))</f>
        <v/>
      </c>
    </row>
    <row r="735" spans="2:2" x14ac:dyDescent="0.25">
      <c r="B735" t="str">
        <f>IF(C735="","",VLOOKUP(C735,Background!$C$2:$D$7,2,FALSE))</f>
        <v/>
      </c>
    </row>
    <row r="736" spans="2:2" x14ac:dyDescent="0.25">
      <c r="B736" t="str">
        <f>IF(C736="","",VLOOKUP(C736,Background!$C$2:$D$7,2,FALSE))</f>
        <v/>
      </c>
    </row>
    <row r="737" spans="2:2" x14ac:dyDescent="0.25">
      <c r="B737" t="str">
        <f>IF(C737="","",VLOOKUP(C737,Background!$C$2:$D$7,2,FALSE))</f>
        <v/>
      </c>
    </row>
    <row r="738" spans="2:2" x14ac:dyDescent="0.25">
      <c r="B738" t="str">
        <f>IF(C738="","",VLOOKUP(C738,Background!$C$2:$D$7,2,FALSE))</f>
        <v/>
      </c>
    </row>
    <row r="739" spans="2:2" x14ac:dyDescent="0.25">
      <c r="B739" t="str">
        <f>IF(C739="","",VLOOKUP(C739,Background!$C$2:$D$7,2,FALSE))</f>
        <v/>
      </c>
    </row>
    <row r="740" spans="2:2" x14ac:dyDescent="0.25">
      <c r="B740" t="str">
        <f>IF(C740="","",VLOOKUP(C740,Background!$C$2:$D$7,2,FALSE))</f>
        <v/>
      </c>
    </row>
    <row r="741" spans="2:2" x14ac:dyDescent="0.25">
      <c r="B741" t="str">
        <f>IF(C741="","",VLOOKUP(C741,Background!$C$2:$D$7,2,FALSE))</f>
        <v/>
      </c>
    </row>
    <row r="742" spans="2:2" x14ac:dyDescent="0.25">
      <c r="B742" t="str">
        <f>IF(C742="","",VLOOKUP(C742,Background!$C$2:$D$7,2,FALSE))</f>
        <v/>
      </c>
    </row>
    <row r="743" spans="2:2" x14ac:dyDescent="0.25">
      <c r="B743" t="str">
        <f>IF(C743="","",VLOOKUP(C743,Background!$C$2:$D$7,2,FALSE))</f>
        <v/>
      </c>
    </row>
    <row r="744" spans="2:2" x14ac:dyDescent="0.25">
      <c r="B744" t="str">
        <f>IF(C744="","",VLOOKUP(C744,Background!$C$2:$D$7,2,FALSE))</f>
        <v/>
      </c>
    </row>
    <row r="745" spans="2:2" x14ac:dyDescent="0.25">
      <c r="B745" t="str">
        <f>IF(C745="","",VLOOKUP(C745,Background!$C$2:$D$7,2,FALSE))</f>
        <v/>
      </c>
    </row>
    <row r="746" spans="2:2" x14ac:dyDescent="0.25">
      <c r="B746" t="str">
        <f>IF(C746="","",VLOOKUP(C746,Background!$C$2:$D$7,2,FALSE))</f>
        <v/>
      </c>
    </row>
    <row r="747" spans="2:2" x14ac:dyDescent="0.25">
      <c r="B747" t="str">
        <f>IF(C747="","",VLOOKUP(C747,Background!$C$2:$D$7,2,FALSE))</f>
        <v/>
      </c>
    </row>
    <row r="748" spans="2:2" x14ac:dyDescent="0.25">
      <c r="B748" t="str">
        <f>IF(C748="","",VLOOKUP(C748,Background!$C$2:$D$7,2,FALSE))</f>
        <v/>
      </c>
    </row>
    <row r="749" spans="2:2" x14ac:dyDescent="0.25">
      <c r="B749" t="str">
        <f>IF(C749="","",VLOOKUP(C749,Background!$C$2:$D$7,2,FALSE))</f>
        <v/>
      </c>
    </row>
    <row r="750" spans="2:2" x14ac:dyDescent="0.25">
      <c r="B750" t="str">
        <f>IF(C750="","",VLOOKUP(C750,Background!$C$2:$D$7,2,FALSE))</f>
        <v/>
      </c>
    </row>
    <row r="751" spans="2:2" x14ac:dyDescent="0.25">
      <c r="B751" t="str">
        <f>IF(C751="","",VLOOKUP(C751,Background!$C$2:$D$7,2,FALSE))</f>
        <v/>
      </c>
    </row>
    <row r="752" spans="2:2" x14ac:dyDescent="0.25">
      <c r="B752" t="str">
        <f>IF(C752="","",VLOOKUP(C752,Background!$C$2:$D$7,2,FALSE))</f>
        <v/>
      </c>
    </row>
    <row r="753" spans="2:2" x14ac:dyDescent="0.25">
      <c r="B753" t="str">
        <f>IF(C753="","",VLOOKUP(C753,Background!$C$2:$D$7,2,FALSE))</f>
        <v/>
      </c>
    </row>
    <row r="754" spans="2:2" x14ac:dyDescent="0.25">
      <c r="B754" t="str">
        <f>IF(C754="","",VLOOKUP(C754,Background!$C$2:$D$7,2,FALSE))</f>
        <v/>
      </c>
    </row>
    <row r="755" spans="2:2" x14ac:dyDescent="0.25">
      <c r="B755" t="str">
        <f>IF(C755="","",VLOOKUP(C755,Background!$C$2:$D$7,2,FALSE))</f>
        <v/>
      </c>
    </row>
    <row r="756" spans="2:2" x14ac:dyDescent="0.25">
      <c r="B756" t="str">
        <f>IF(C756="","",VLOOKUP(C756,Background!$C$2:$D$7,2,FALSE))</f>
        <v/>
      </c>
    </row>
    <row r="757" spans="2:2" x14ac:dyDescent="0.25">
      <c r="B757" t="str">
        <f>IF(C757="","",VLOOKUP(C757,Background!$C$2:$D$7,2,FALSE))</f>
        <v/>
      </c>
    </row>
    <row r="758" spans="2:2" x14ac:dyDescent="0.25">
      <c r="B758" t="str">
        <f>IF(C758="","",VLOOKUP(C758,Background!$C$2:$D$7,2,FALSE))</f>
        <v/>
      </c>
    </row>
    <row r="759" spans="2:2" x14ac:dyDescent="0.25">
      <c r="B759" t="str">
        <f>IF(C759="","",VLOOKUP(C759,Background!$C$2:$D$7,2,FALSE))</f>
        <v/>
      </c>
    </row>
    <row r="760" spans="2:2" x14ac:dyDescent="0.25">
      <c r="B760" t="str">
        <f>IF(C760="","",VLOOKUP(C760,Background!$C$2:$D$7,2,FALSE))</f>
        <v/>
      </c>
    </row>
    <row r="761" spans="2:2" x14ac:dyDescent="0.25">
      <c r="B761" t="str">
        <f>IF(C761="","",VLOOKUP(C761,Background!$C$2:$D$7,2,FALSE))</f>
        <v/>
      </c>
    </row>
    <row r="762" spans="2:2" x14ac:dyDescent="0.25">
      <c r="B762" t="str">
        <f>IF(C762="","",VLOOKUP(C762,Background!$C$2:$D$7,2,FALSE))</f>
        <v/>
      </c>
    </row>
    <row r="763" spans="2:2" x14ac:dyDescent="0.25">
      <c r="B763" t="str">
        <f>IF(C763="","",VLOOKUP(C763,Background!$C$2:$D$7,2,FALSE))</f>
        <v/>
      </c>
    </row>
    <row r="764" spans="2:2" x14ac:dyDescent="0.25">
      <c r="B764" t="str">
        <f>IF(C764="","",VLOOKUP(C764,Background!$C$2:$D$7,2,FALSE))</f>
        <v/>
      </c>
    </row>
    <row r="765" spans="2:2" x14ac:dyDescent="0.25">
      <c r="B765" t="str">
        <f>IF(C765="","",VLOOKUP(C765,Background!$C$2:$D$7,2,FALSE))</f>
        <v/>
      </c>
    </row>
    <row r="766" spans="2:2" x14ac:dyDescent="0.25">
      <c r="B766" t="str">
        <f>IF(C766="","",VLOOKUP(C766,Background!$C$2:$D$7,2,FALSE))</f>
        <v/>
      </c>
    </row>
    <row r="767" spans="2:2" x14ac:dyDescent="0.25">
      <c r="B767" t="str">
        <f>IF(C767="","",VLOOKUP(C767,Background!$C$2:$D$7,2,FALSE))</f>
        <v/>
      </c>
    </row>
    <row r="768" spans="2:2" x14ac:dyDescent="0.25">
      <c r="B768" t="str">
        <f>IF(C768="","",VLOOKUP(C768,Background!$C$2:$D$7,2,FALSE))</f>
        <v/>
      </c>
    </row>
    <row r="769" spans="2:2" x14ac:dyDescent="0.25">
      <c r="B769" t="str">
        <f>IF(C769="","",VLOOKUP(C769,Background!$C$2:$D$7,2,FALSE))</f>
        <v/>
      </c>
    </row>
    <row r="770" spans="2:2" x14ac:dyDescent="0.25">
      <c r="B770" t="str">
        <f>IF(C770="","",VLOOKUP(C770,Background!$C$2:$D$7,2,FALSE))</f>
        <v/>
      </c>
    </row>
    <row r="771" spans="2:2" x14ac:dyDescent="0.25">
      <c r="B771" t="str">
        <f>IF(C771="","",VLOOKUP(C771,Background!$C$2:$D$7,2,FALSE))</f>
        <v/>
      </c>
    </row>
    <row r="772" spans="2:2" x14ac:dyDescent="0.25">
      <c r="B772" t="str">
        <f>IF(C772="","",VLOOKUP(C772,Background!$C$2:$D$7,2,FALSE))</f>
        <v/>
      </c>
    </row>
    <row r="773" spans="2:2" x14ac:dyDescent="0.25">
      <c r="B773" t="str">
        <f>IF(C773="","",VLOOKUP(C773,Background!$C$2:$D$7,2,FALSE))</f>
        <v/>
      </c>
    </row>
    <row r="774" spans="2:2" x14ac:dyDescent="0.25">
      <c r="B774" t="str">
        <f>IF(C774="","",VLOOKUP(C774,Background!$C$2:$D$7,2,FALSE))</f>
        <v/>
      </c>
    </row>
    <row r="775" spans="2:2" x14ac:dyDescent="0.25">
      <c r="B775" t="str">
        <f>IF(C775="","",VLOOKUP(C775,Background!$C$2:$D$7,2,FALSE))</f>
        <v/>
      </c>
    </row>
    <row r="776" spans="2:2" x14ac:dyDescent="0.25">
      <c r="B776" t="str">
        <f>IF(C776="","",VLOOKUP(C776,Background!$C$2:$D$7,2,FALSE))</f>
        <v/>
      </c>
    </row>
    <row r="777" spans="2:2" x14ac:dyDescent="0.25">
      <c r="B777" t="str">
        <f>IF(C777="","",VLOOKUP(C777,Background!$C$2:$D$7,2,FALSE))</f>
        <v/>
      </c>
    </row>
    <row r="778" spans="2:2" x14ac:dyDescent="0.25">
      <c r="B778" t="str">
        <f>IF(C778="","",VLOOKUP(C778,Background!$C$2:$D$7,2,FALSE))</f>
        <v/>
      </c>
    </row>
    <row r="779" spans="2:2" x14ac:dyDescent="0.25">
      <c r="B779" t="str">
        <f>IF(C779="","",VLOOKUP(C779,Background!$C$2:$D$7,2,FALSE))</f>
        <v/>
      </c>
    </row>
    <row r="780" spans="2:2" x14ac:dyDescent="0.25">
      <c r="B780" t="str">
        <f>IF(C780="","",VLOOKUP(C780,Background!$C$2:$D$7,2,FALSE))</f>
        <v/>
      </c>
    </row>
    <row r="781" spans="2:2" x14ac:dyDescent="0.25">
      <c r="B781" t="str">
        <f>IF(C781="","",VLOOKUP(C781,Background!$C$2:$D$7,2,FALSE))</f>
        <v/>
      </c>
    </row>
    <row r="782" spans="2:2" x14ac:dyDescent="0.25">
      <c r="B782" t="str">
        <f>IF(C782="","",VLOOKUP(C782,Background!$C$2:$D$7,2,FALSE))</f>
        <v/>
      </c>
    </row>
    <row r="783" spans="2:2" x14ac:dyDescent="0.25">
      <c r="B783" t="str">
        <f>IF(C783="","",VLOOKUP(C783,Background!$C$2:$D$7,2,FALSE))</f>
        <v/>
      </c>
    </row>
    <row r="784" spans="2:2" x14ac:dyDescent="0.25">
      <c r="B784" t="str">
        <f>IF(C784="","",VLOOKUP(C784,Background!$C$2:$D$7,2,FALSE))</f>
        <v/>
      </c>
    </row>
    <row r="785" spans="2:2" x14ac:dyDescent="0.25">
      <c r="B785" t="str">
        <f>IF(C785="","",VLOOKUP(C785,Background!$C$2:$D$7,2,FALSE))</f>
        <v/>
      </c>
    </row>
    <row r="786" spans="2:2" x14ac:dyDescent="0.25">
      <c r="B786" t="str">
        <f>IF(C786="","",VLOOKUP(C786,Background!$C$2:$D$7,2,FALSE))</f>
        <v/>
      </c>
    </row>
    <row r="787" spans="2:2" x14ac:dyDescent="0.25">
      <c r="B787" t="str">
        <f>IF(C787="","",VLOOKUP(C787,Background!$C$2:$D$7,2,FALSE))</f>
        <v/>
      </c>
    </row>
    <row r="788" spans="2:2" x14ac:dyDescent="0.25">
      <c r="B788" t="str">
        <f>IF(C788="","",VLOOKUP(C788,Background!$C$2:$D$7,2,FALSE))</f>
        <v/>
      </c>
    </row>
    <row r="789" spans="2:2" x14ac:dyDescent="0.25">
      <c r="B789" t="str">
        <f>IF(C789="","",VLOOKUP(C789,Background!$C$2:$D$7,2,FALSE))</f>
        <v/>
      </c>
    </row>
    <row r="790" spans="2:2" x14ac:dyDescent="0.25">
      <c r="B790" t="str">
        <f>IF(C790="","",VLOOKUP(C790,Background!$C$2:$D$7,2,FALSE))</f>
        <v/>
      </c>
    </row>
    <row r="791" spans="2:2" x14ac:dyDescent="0.25">
      <c r="B791" t="str">
        <f>IF(C791="","",VLOOKUP(C791,Background!$C$2:$D$7,2,FALSE))</f>
        <v/>
      </c>
    </row>
    <row r="792" spans="2:2" x14ac:dyDescent="0.25">
      <c r="B792" t="str">
        <f>IF(C792="","",VLOOKUP(C792,Background!$C$2:$D$7,2,FALSE))</f>
        <v/>
      </c>
    </row>
    <row r="793" spans="2:2" x14ac:dyDescent="0.25">
      <c r="B793" t="str">
        <f>IF(C793="","",VLOOKUP(C793,Background!$C$2:$D$7,2,FALSE))</f>
        <v/>
      </c>
    </row>
    <row r="794" spans="2:2" x14ac:dyDescent="0.25">
      <c r="B794" t="str">
        <f>IF(C794="","",VLOOKUP(C794,Background!$C$2:$D$7,2,FALSE))</f>
        <v/>
      </c>
    </row>
    <row r="795" spans="2:2" x14ac:dyDescent="0.25">
      <c r="B795" t="str">
        <f>IF(C795="","",VLOOKUP(C795,Background!$C$2:$D$7,2,FALSE))</f>
        <v/>
      </c>
    </row>
    <row r="796" spans="2:2" x14ac:dyDescent="0.25">
      <c r="B796" t="str">
        <f>IF(C796="","",VLOOKUP(C796,Background!$C$2:$D$7,2,FALSE))</f>
        <v/>
      </c>
    </row>
    <row r="797" spans="2:2" x14ac:dyDescent="0.25">
      <c r="B797" t="str">
        <f>IF(C797="","",VLOOKUP(C797,Background!$C$2:$D$7,2,FALSE))</f>
        <v/>
      </c>
    </row>
    <row r="798" spans="2:2" x14ac:dyDescent="0.25">
      <c r="B798" t="str">
        <f>IF(C798="","",VLOOKUP(C798,Background!$C$2:$D$7,2,FALSE))</f>
        <v/>
      </c>
    </row>
    <row r="799" spans="2:2" x14ac:dyDescent="0.25">
      <c r="B799" t="str">
        <f>IF(C799="","",VLOOKUP(C799,Background!$C$2:$D$7,2,FALSE))</f>
        <v/>
      </c>
    </row>
    <row r="800" spans="2:2" x14ac:dyDescent="0.25">
      <c r="B800" t="str">
        <f>IF(C800="","",VLOOKUP(C800,Background!$C$2:$D$7,2,FALSE))</f>
        <v/>
      </c>
    </row>
    <row r="801" spans="2:2" x14ac:dyDescent="0.25">
      <c r="B801" t="str">
        <f>IF(C801="","",VLOOKUP(C801,Background!$C$2:$D$7,2,FALSE))</f>
        <v/>
      </c>
    </row>
    <row r="802" spans="2:2" x14ac:dyDescent="0.25">
      <c r="B802" t="str">
        <f>IF(C802="","",VLOOKUP(C802,Background!$C$2:$D$7,2,FALSE))</f>
        <v/>
      </c>
    </row>
    <row r="803" spans="2:2" x14ac:dyDescent="0.25">
      <c r="B803" t="str">
        <f>IF(C803="","",VLOOKUP(C803,Background!$C$2:$D$7,2,FALSE))</f>
        <v/>
      </c>
    </row>
    <row r="804" spans="2:2" x14ac:dyDescent="0.25">
      <c r="B804" t="str">
        <f>IF(C804="","",VLOOKUP(C804,Background!$C$2:$D$7,2,FALSE))</f>
        <v/>
      </c>
    </row>
    <row r="805" spans="2:2" x14ac:dyDescent="0.25">
      <c r="B805" t="str">
        <f>IF(C805="","",VLOOKUP(C805,Background!$C$2:$D$7,2,FALSE))</f>
        <v/>
      </c>
    </row>
    <row r="806" spans="2:2" x14ac:dyDescent="0.25">
      <c r="B806" t="str">
        <f>IF(C806="","",VLOOKUP(C806,Background!$C$2:$D$7,2,FALSE))</f>
        <v/>
      </c>
    </row>
    <row r="807" spans="2:2" x14ac:dyDescent="0.25">
      <c r="B807" t="str">
        <f>IF(C807="","",VLOOKUP(C807,Background!$C$2:$D$7,2,FALSE))</f>
        <v/>
      </c>
    </row>
    <row r="808" spans="2:2" x14ac:dyDescent="0.25">
      <c r="B808" t="str">
        <f>IF(C808="","",VLOOKUP(C808,Background!$C$2:$D$7,2,FALSE))</f>
        <v/>
      </c>
    </row>
    <row r="809" spans="2:2" x14ac:dyDescent="0.25">
      <c r="B809" t="str">
        <f>IF(C809="","",VLOOKUP(C809,Background!$C$2:$D$7,2,FALSE))</f>
        <v/>
      </c>
    </row>
    <row r="810" spans="2:2" x14ac:dyDescent="0.25">
      <c r="B810" t="str">
        <f>IF(C810="","",VLOOKUP(C810,Background!$C$2:$D$7,2,FALSE))</f>
        <v/>
      </c>
    </row>
    <row r="811" spans="2:2" x14ac:dyDescent="0.25">
      <c r="B811" t="str">
        <f>IF(C811="","",VLOOKUP(C811,Background!$C$2:$D$7,2,FALSE))</f>
        <v/>
      </c>
    </row>
    <row r="812" spans="2:2" x14ac:dyDescent="0.25">
      <c r="B812" t="str">
        <f>IF(C812="","",VLOOKUP(C812,Background!$C$2:$D$7,2,FALSE))</f>
        <v/>
      </c>
    </row>
    <row r="813" spans="2:2" x14ac:dyDescent="0.25">
      <c r="B813" t="str">
        <f>IF(C813="","",VLOOKUP(C813,Background!$C$2:$D$7,2,FALSE))</f>
        <v/>
      </c>
    </row>
    <row r="814" spans="2:2" x14ac:dyDescent="0.25">
      <c r="B814" t="str">
        <f>IF(C814="","",VLOOKUP(C814,Background!$C$2:$D$7,2,FALSE))</f>
        <v/>
      </c>
    </row>
    <row r="815" spans="2:2" x14ac:dyDescent="0.25">
      <c r="B815" t="str">
        <f>IF(C815="","",VLOOKUP(C815,Background!$C$2:$D$7,2,FALSE))</f>
        <v/>
      </c>
    </row>
    <row r="816" spans="2:2" x14ac:dyDescent="0.25">
      <c r="B816" t="str">
        <f>IF(C816="","",VLOOKUP(C816,Background!$C$2:$D$7,2,FALSE))</f>
        <v/>
      </c>
    </row>
    <row r="817" spans="2:2" x14ac:dyDescent="0.25">
      <c r="B817" t="str">
        <f>IF(C817="","",VLOOKUP(C817,Background!$C$2:$D$7,2,FALSE))</f>
        <v/>
      </c>
    </row>
    <row r="818" spans="2:2" x14ac:dyDescent="0.25">
      <c r="B818" t="str">
        <f>IF(C818="","",VLOOKUP(C818,Background!$C$2:$D$7,2,FALSE))</f>
        <v/>
      </c>
    </row>
    <row r="819" spans="2:2" x14ac:dyDescent="0.25">
      <c r="B819" t="str">
        <f>IF(C819="","",VLOOKUP(C819,Background!$C$2:$D$7,2,FALSE))</f>
        <v/>
      </c>
    </row>
    <row r="820" spans="2:2" x14ac:dyDescent="0.25">
      <c r="B820" t="str">
        <f>IF(C820="","",VLOOKUP(C820,Background!$C$2:$D$7,2,FALSE))</f>
        <v/>
      </c>
    </row>
    <row r="821" spans="2:2" x14ac:dyDescent="0.25">
      <c r="B821" t="str">
        <f>IF(C821="","",VLOOKUP(C821,Background!$C$2:$D$7,2,FALSE))</f>
        <v/>
      </c>
    </row>
    <row r="822" spans="2:2" x14ac:dyDescent="0.25">
      <c r="B822" t="str">
        <f>IF(C822="","",VLOOKUP(C822,Background!$C$2:$D$7,2,FALSE))</f>
        <v/>
      </c>
    </row>
    <row r="823" spans="2:2" x14ac:dyDescent="0.25">
      <c r="B823" t="str">
        <f>IF(C823="","",VLOOKUP(C823,Background!$C$2:$D$7,2,FALSE))</f>
        <v/>
      </c>
    </row>
    <row r="824" spans="2:2" x14ac:dyDescent="0.25">
      <c r="B824" t="str">
        <f>IF(C824="","",VLOOKUP(C824,Background!$C$2:$D$7,2,FALSE))</f>
        <v/>
      </c>
    </row>
    <row r="825" spans="2:2" x14ac:dyDescent="0.25">
      <c r="B825" t="str">
        <f>IF(C825="","",VLOOKUP(C825,Background!$C$2:$D$7,2,FALSE))</f>
        <v/>
      </c>
    </row>
    <row r="826" spans="2:2" x14ac:dyDescent="0.25">
      <c r="B826" t="str">
        <f>IF(C826="","",VLOOKUP(C826,Background!$C$2:$D$7,2,FALSE))</f>
        <v/>
      </c>
    </row>
    <row r="827" spans="2:2" x14ac:dyDescent="0.25">
      <c r="B827" t="str">
        <f>IF(C827="","",VLOOKUP(C827,Background!$C$2:$D$7,2,FALSE))</f>
        <v/>
      </c>
    </row>
    <row r="828" spans="2:2" x14ac:dyDescent="0.25">
      <c r="B828" t="str">
        <f>IF(C828="","",VLOOKUP(C828,Background!$C$2:$D$7,2,FALSE))</f>
        <v/>
      </c>
    </row>
    <row r="829" spans="2:2" x14ac:dyDescent="0.25">
      <c r="B829" t="str">
        <f>IF(C829="","",VLOOKUP(C829,Background!$C$2:$D$7,2,FALSE))</f>
        <v/>
      </c>
    </row>
    <row r="830" spans="2:2" x14ac:dyDescent="0.25">
      <c r="B830" t="str">
        <f>IF(C830="","",VLOOKUP(C830,Background!$C$2:$D$7,2,FALSE))</f>
        <v/>
      </c>
    </row>
    <row r="831" spans="2:2" x14ac:dyDescent="0.25">
      <c r="B831" t="str">
        <f>IF(C831="","",VLOOKUP(C831,Background!$C$2:$D$7,2,FALSE))</f>
        <v/>
      </c>
    </row>
    <row r="832" spans="2:2" x14ac:dyDescent="0.25">
      <c r="B832" t="str">
        <f>IF(C832="","",VLOOKUP(C832,Background!$C$2:$D$7,2,FALSE))</f>
        <v/>
      </c>
    </row>
    <row r="833" spans="2:2" x14ac:dyDescent="0.25">
      <c r="B833" t="str">
        <f>IF(C833="","",VLOOKUP(C833,Background!$C$2:$D$7,2,FALSE))</f>
        <v/>
      </c>
    </row>
    <row r="834" spans="2:2" x14ac:dyDescent="0.25">
      <c r="B834" t="str">
        <f>IF(C834="","",VLOOKUP(C834,Background!$C$2:$D$7,2,FALSE))</f>
        <v/>
      </c>
    </row>
    <row r="835" spans="2:2" x14ac:dyDescent="0.25">
      <c r="B835" t="str">
        <f>IF(C835="","",VLOOKUP(C835,Background!$C$2:$D$7,2,FALSE))</f>
        <v/>
      </c>
    </row>
    <row r="836" spans="2:2" x14ac:dyDescent="0.25">
      <c r="B836" t="str">
        <f>IF(C836="","",VLOOKUP(C836,Background!$C$2:$D$7,2,FALSE))</f>
        <v/>
      </c>
    </row>
    <row r="837" spans="2:2" x14ac:dyDescent="0.25">
      <c r="B837" t="str">
        <f>IF(C837="","",VLOOKUP(C837,Background!$C$2:$D$7,2,FALSE))</f>
        <v/>
      </c>
    </row>
    <row r="838" spans="2:2" x14ac:dyDescent="0.25">
      <c r="B838" t="str">
        <f>IF(C838="","",VLOOKUP(C838,Background!$C$2:$D$7,2,FALSE))</f>
        <v/>
      </c>
    </row>
    <row r="839" spans="2:2" x14ac:dyDescent="0.25">
      <c r="B839" t="str">
        <f>IF(C839="","",VLOOKUP(C839,Background!$C$2:$D$7,2,FALSE))</f>
        <v/>
      </c>
    </row>
    <row r="840" spans="2:2" x14ac:dyDescent="0.25">
      <c r="B840" t="str">
        <f>IF(C840="","",VLOOKUP(C840,Background!$C$2:$D$7,2,FALSE))</f>
        <v/>
      </c>
    </row>
    <row r="841" spans="2:2" x14ac:dyDescent="0.25">
      <c r="B841" t="str">
        <f>IF(C841="","",VLOOKUP(C841,Background!$C$2:$D$7,2,FALSE))</f>
        <v/>
      </c>
    </row>
    <row r="842" spans="2:2" x14ac:dyDescent="0.25">
      <c r="B842" t="str">
        <f>IF(C842="","",VLOOKUP(C842,Background!$C$2:$D$7,2,FALSE))</f>
        <v/>
      </c>
    </row>
    <row r="843" spans="2:2" x14ac:dyDescent="0.25">
      <c r="B843" t="str">
        <f>IF(C843="","",VLOOKUP(C843,Background!$C$2:$D$7,2,FALSE))</f>
        <v/>
      </c>
    </row>
    <row r="844" spans="2:2" x14ac:dyDescent="0.25">
      <c r="B844" t="str">
        <f>IF(C844="","",VLOOKUP(C844,Background!$C$2:$D$7,2,FALSE))</f>
        <v/>
      </c>
    </row>
    <row r="845" spans="2:2" x14ac:dyDescent="0.25">
      <c r="B845" t="str">
        <f>IF(C845="","",VLOOKUP(C845,Background!$C$2:$D$7,2,FALSE))</f>
        <v/>
      </c>
    </row>
    <row r="846" spans="2:2" x14ac:dyDescent="0.25">
      <c r="B846" t="str">
        <f>IF(C846="","",VLOOKUP(C846,Background!$C$2:$D$7,2,FALSE))</f>
        <v/>
      </c>
    </row>
    <row r="847" spans="2:2" x14ac:dyDescent="0.25">
      <c r="B847" t="str">
        <f>IF(C847="","",VLOOKUP(C847,Background!$C$2:$D$7,2,FALSE))</f>
        <v/>
      </c>
    </row>
    <row r="848" spans="2:2" x14ac:dyDescent="0.25">
      <c r="B848" t="str">
        <f>IF(C848="","",VLOOKUP(C848,Background!$C$2:$D$7,2,FALSE))</f>
        <v/>
      </c>
    </row>
    <row r="849" spans="2:2" x14ac:dyDescent="0.25">
      <c r="B849" t="str">
        <f>IF(C849="","",VLOOKUP(C849,Background!$C$2:$D$7,2,FALSE))</f>
        <v/>
      </c>
    </row>
    <row r="850" spans="2:2" x14ac:dyDescent="0.25">
      <c r="B850" t="str">
        <f>IF(C850="","",VLOOKUP(C850,Background!$C$2:$D$7,2,FALSE))</f>
        <v/>
      </c>
    </row>
    <row r="851" spans="2:2" x14ac:dyDescent="0.25">
      <c r="B851" t="str">
        <f>IF(C851="","",VLOOKUP(C851,Background!$C$2:$D$7,2,FALSE))</f>
        <v/>
      </c>
    </row>
    <row r="852" spans="2:2" x14ac:dyDescent="0.25">
      <c r="B852" t="str">
        <f>IF(C852="","",VLOOKUP(C852,Background!$C$2:$D$7,2,FALSE))</f>
        <v/>
      </c>
    </row>
    <row r="853" spans="2:2" x14ac:dyDescent="0.25">
      <c r="B853" t="str">
        <f>IF(C853="","",VLOOKUP(C853,Background!$C$2:$D$7,2,FALSE))</f>
        <v/>
      </c>
    </row>
    <row r="854" spans="2:2" x14ac:dyDescent="0.25">
      <c r="B854" t="str">
        <f>IF(C854="","",VLOOKUP(C854,Background!$C$2:$D$7,2,FALSE))</f>
        <v/>
      </c>
    </row>
    <row r="855" spans="2:2" x14ac:dyDescent="0.25">
      <c r="B855" t="str">
        <f>IF(C855="","",VLOOKUP(C855,Background!$C$2:$D$7,2,FALSE))</f>
        <v/>
      </c>
    </row>
    <row r="856" spans="2:2" x14ac:dyDescent="0.25">
      <c r="B856" t="str">
        <f>IF(C856="","",VLOOKUP(C856,Background!$C$2:$D$7,2,FALSE))</f>
        <v/>
      </c>
    </row>
    <row r="857" spans="2:2" x14ac:dyDescent="0.25">
      <c r="B857" t="str">
        <f>IF(C857="","",VLOOKUP(C857,Background!$C$2:$D$7,2,FALSE))</f>
        <v/>
      </c>
    </row>
    <row r="858" spans="2:2" x14ac:dyDescent="0.25">
      <c r="B858" t="str">
        <f>IF(C858="","",VLOOKUP(C858,Background!$C$2:$D$7,2,FALSE))</f>
        <v/>
      </c>
    </row>
    <row r="859" spans="2:2" x14ac:dyDescent="0.25">
      <c r="B859" t="str">
        <f>IF(C859="","",VLOOKUP(C859,Background!$C$2:$D$7,2,FALSE))</f>
        <v/>
      </c>
    </row>
    <row r="860" spans="2:2" x14ac:dyDescent="0.25">
      <c r="B860" t="str">
        <f>IF(C860="","",VLOOKUP(C860,Background!$C$2:$D$7,2,FALSE))</f>
        <v/>
      </c>
    </row>
    <row r="861" spans="2:2" x14ac:dyDescent="0.25">
      <c r="B861" t="str">
        <f>IF(C861="","",VLOOKUP(C861,Background!$C$2:$D$7,2,FALSE))</f>
        <v/>
      </c>
    </row>
    <row r="862" spans="2:2" x14ac:dyDescent="0.25">
      <c r="B862" t="str">
        <f>IF(C862="","",VLOOKUP(C862,Background!$C$2:$D$7,2,FALSE))</f>
        <v/>
      </c>
    </row>
    <row r="863" spans="2:2" x14ac:dyDescent="0.25">
      <c r="B863" t="str">
        <f>IF(C863="","",VLOOKUP(C863,Background!$C$2:$D$7,2,FALSE))</f>
        <v/>
      </c>
    </row>
    <row r="864" spans="2:2" x14ac:dyDescent="0.25">
      <c r="B864" t="str">
        <f>IF(C864="","",VLOOKUP(C864,Background!$C$2:$D$7,2,FALSE))</f>
        <v/>
      </c>
    </row>
    <row r="865" spans="2:2" x14ac:dyDescent="0.25">
      <c r="B865" t="str">
        <f>IF(C865="","",VLOOKUP(C865,Background!$C$2:$D$7,2,FALSE))</f>
        <v/>
      </c>
    </row>
    <row r="866" spans="2:2" x14ac:dyDescent="0.25">
      <c r="B866" t="str">
        <f>IF(C866="","",VLOOKUP(C866,Background!$C$2:$D$7,2,FALSE))</f>
        <v/>
      </c>
    </row>
    <row r="867" spans="2:2" x14ac:dyDescent="0.25">
      <c r="B867" t="str">
        <f>IF(C867="","",VLOOKUP(C867,Background!$C$2:$D$7,2,FALSE))</f>
        <v/>
      </c>
    </row>
    <row r="868" spans="2:2" x14ac:dyDescent="0.25">
      <c r="B868" t="str">
        <f>IF(C868="","",VLOOKUP(C868,Background!$C$2:$D$7,2,FALSE))</f>
        <v/>
      </c>
    </row>
    <row r="869" spans="2:2" x14ac:dyDescent="0.25">
      <c r="B869" t="str">
        <f>IF(C869="","",VLOOKUP(C869,Background!$C$2:$D$7,2,FALSE))</f>
        <v/>
      </c>
    </row>
    <row r="870" spans="2:2" x14ac:dyDescent="0.25">
      <c r="B870" t="str">
        <f>IF(C870="","",VLOOKUP(C870,Background!$C$2:$D$7,2,FALSE))</f>
        <v/>
      </c>
    </row>
    <row r="871" spans="2:2" x14ac:dyDescent="0.25">
      <c r="B871" t="str">
        <f>IF(C871="","",VLOOKUP(C871,Background!$C$2:$D$7,2,FALSE))</f>
        <v/>
      </c>
    </row>
    <row r="872" spans="2:2" x14ac:dyDescent="0.25">
      <c r="B872" t="str">
        <f>IF(C872="","",VLOOKUP(C872,Background!$C$2:$D$7,2,FALSE))</f>
        <v/>
      </c>
    </row>
    <row r="873" spans="2:2" x14ac:dyDescent="0.25">
      <c r="B873" t="str">
        <f>IF(C873="","",VLOOKUP(C873,Background!$C$2:$D$7,2,FALSE))</f>
        <v/>
      </c>
    </row>
    <row r="874" spans="2:2" x14ac:dyDescent="0.25">
      <c r="B874" t="str">
        <f>IF(C874="","",VLOOKUP(C874,Background!$C$2:$D$7,2,FALSE))</f>
        <v/>
      </c>
    </row>
    <row r="875" spans="2:2" x14ac:dyDescent="0.25">
      <c r="B875" t="str">
        <f>IF(C875="","",VLOOKUP(C875,Background!$C$2:$D$7,2,FALSE))</f>
        <v/>
      </c>
    </row>
    <row r="876" spans="2:2" x14ac:dyDescent="0.25">
      <c r="B876" t="str">
        <f>IF(C876="","",VLOOKUP(C876,Background!$C$2:$D$7,2,FALSE))</f>
        <v/>
      </c>
    </row>
    <row r="877" spans="2:2" x14ac:dyDescent="0.25">
      <c r="B877" t="str">
        <f>IF(C877="","",VLOOKUP(C877,Background!$C$2:$D$7,2,FALSE))</f>
        <v/>
      </c>
    </row>
    <row r="878" spans="2:2" x14ac:dyDescent="0.25">
      <c r="B878" t="str">
        <f>IF(C878="","",VLOOKUP(C878,Background!$C$2:$D$7,2,FALSE))</f>
        <v/>
      </c>
    </row>
    <row r="879" spans="2:2" x14ac:dyDescent="0.25">
      <c r="B879" t="str">
        <f>IF(C879="","",VLOOKUP(C879,Background!$C$2:$D$7,2,FALSE))</f>
        <v/>
      </c>
    </row>
    <row r="880" spans="2:2" x14ac:dyDescent="0.25">
      <c r="B880" t="str">
        <f>IF(C880="","",VLOOKUP(C880,Background!$C$2:$D$7,2,FALSE))</f>
        <v/>
      </c>
    </row>
    <row r="881" spans="2:2" x14ac:dyDescent="0.25">
      <c r="B881" t="str">
        <f>IF(C881="","",VLOOKUP(C881,Background!$C$2:$D$7,2,FALSE))</f>
        <v/>
      </c>
    </row>
    <row r="882" spans="2:2" x14ac:dyDescent="0.25">
      <c r="B882" t="str">
        <f>IF(C882="","",VLOOKUP(C882,Background!$C$2:$D$7,2,FALSE))</f>
        <v/>
      </c>
    </row>
    <row r="883" spans="2:2" x14ac:dyDescent="0.25">
      <c r="B883" t="str">
        <f>IF(C883="","",VLOOKUP(C883,Background!$C$2:$D$7,2,FALSE))</f>
        <v/>
      </c>
    </row>
    <row r="884" spans="2:2" x14ac:dyDescent="0.25">
      <c r="B884" t="str">
        <f>IF(C884="","",VLOOKUP(C884,Background!$C$2:$D$7,2,FALSE))</f>
        <v/>
      </c>
    </row>
    <row r="885" spans="2:2" x14ac:dyDescent="0.25">
      <c r="B885" t="str">
        <f>IF(C885="","",VLOOKUP(C885,Background!$C$2:$D$7,2,FALSE))</f>
        <v/>
      </c>
    </row>
    <row r="886" spans="2:2" x14ac:dyDescent="0.25">
      <c r="B886" t="str">
        <f>IF(C886="","",VLOOKUP(C886,Background!$C$2:$D$7,2,FALSE))</f>
        <v/>
      </c>
    </row>
    <row r="887" spans="2:2" x14ac:dyDescent="0.25">
      <c r="B887" t="str">
        <f>IF(C887="","",VLOOKUP(C887,Background!$C$2:$D$7,2,FALSE))</f>
        <v/>
      </c>
    </row>
    <row r="888" spans="2:2" x14ac:dyDescent="0.25">
      <c r="B888" t="str">
        <f>IF(C888="","",VLOOKUP(C888,Background!$C$2:$D$7,2,FALSE))</f>
        <v/>
      </c>
    </row>
    <row r="889" spans="2:2" x14ac:dyDescent="0.25">
      <c r="B889" t="str">
        <f>IF(C889="","",VLOOKUP(C889,Background!$C$2:$D$7,2,FALSE))</f>
        <v/>
      </c>
    </row>
    <row r="890" spans="2:2" x14ac:dyDescent="0.25">
      <c r="B890" t="str">
        <f>IF(C890="","",VLOOKUP(C890,Background!$C$2:$D$7,2,FALSE))</f>
        <v/>
      </c>
    </row>
    <row r="891" spans="2:2" x14ac:dyDescent="0.25">
      <c r="B891" t="str">
        <f>IF(C891="","",VLOOKUP(C891,Background!$C$2:$D$7,2,FALSE))</f>
        <v/>
      </c>
    </row>
    <row r="892" spans="2:2" x14ac:dyDescent="0.25">
      <c r="B892" t="str">
        <f>IF(C892="","",VLOOKUP(C892,Background!$C$2:$D$7,2,FALSE))</f>
        <v/>
      </c>
    </row>
    <row r="893" spans="2:2" x14ac:dyDescent="0.25">
      <c r="B893" t="str">
        <f>IF(C893="","",VLOOKUP(C893,Background!$C$2:$D$7,2,FALSE))</f>
        <v/>
      </c>
    </row>
    <row r="894" spans="2:2" x14ac:dyDescent="0.25">
      <c r="B894" t="str">
        <f>IF(C894="","",VLOOKUP(C894,Background!$C$2:$D$7,2,FALSE))</f>
        <v/>
      </c>
    </row>
    <row r="895" spans="2:2" x14ac:dyDescent="0.25">
      <c r="B895" t="str">
        <f>IF(C895="","",VLOOKUP(C895,Background!$C$2:$D$7,2,FALSE))</f>
        <v/>
      </c>
    </row>
    <row r="896" spans="2:2" x14ac:dyDescent="0.25">
      <c r="B896" t="str">
        <f>IF(C896="","",VLOOKUP(C896,Background!$C$2:$D$7,2,FALSE))</f>
        <v/>
      </c>
    </row>
    <row r="897" spans="2:2" x14ac:dyDescent="0.25">
      <c r="B897" t="str">
        <f>IF(C897="","",VLOOKUP(C897,Background!$C$2:$D$7,2,FALSE))</f>
        <v/>
      </c>
    </row>
    <row r="898" spans="2:2" x14ac:dyDescent="0.25">
      <c r="B898" t="str">
        <f>IF(C898="","",VLOOKUP(C898,Background!$C$2:$D$7,2,FALSE))</f>
        <v/>
      </c>
    </row>
    <row r="899" spans="2:2" x14ac:dyDescent="0.25">
      <c r="B899" t="str">
        <f>IF(C899="","",VLOOKUP(C899,Background!$C$2:$D$7,2,FALSE))</f>
        <v/>
      </c>
    </row>
    <row r="900" spans="2:2" x14ac:dyDescent="0.25">
      <c r="B900" t="str">
        <f>IF(C900="","",VLOOKUP(C900,Background!$C$2:$D$7,2,FALSE))</f>
        <v/>
      </c>
    </row>
    <row r="901" spans="2:2" x14ac:dyDescent="0.25">
      <c r="B901" t="str">
        <f>IF(C901="","",VLOOKUP(C901,Background!$C$2:$D$7,2,FALSE))</f>
        <v/>
      </c>
    </row>
    <row r="902" spans="2:2" x14ac:dyDescent="0.25">
      <c r="B902" t="str">
        <f>IF(C902="","",VLOOKUP(C902,Background!$C$2:$D$7,2,FALSE))</f>
        <v/>
      </c>
    </row>
    <row r="903" spans="2:2" x14ac:dyDescent="0.25">
      <c r="B903" t="str">
        <f>IF(C903="","",VLOOKUP(C903,Background!$C$2:$D$7,2,FALSE))</f>
        <v/>
      </c>
    </row>
    <row r="904" spans="2:2" x14ac:dyDescent="0.25">
      <c r="B904" t="str">
        <f>IF(C904="","",VLOOKUP(C904,Background!$C$2:$D$7,2,FALSE))</f>
        <v/>
      </c>
    </row>
    <row r="905" spans="2:2" x14ac:dyDescent="0.25">
      <c r="B905" t="str">
        <f>IF(C905="","",VLOOKUP(C905,Background!$C$2:$D$7,2,FALSE))</f>
        <v/>
      </c>
    </row>
    <row r="906" spans="2:2" x14ac:dyDescent="0.25">
      <c r="B906" t="str">
        <f>IF(C906="","",VLOOKUP(C906,Background!$C$2:$D$7,2,FALSE))</f>
        <v/>
      </c>
    </row>
    <row r="907" spans="2:2" x14ac:dyDescent="0.25">
      <c r="B907" t="str">
        <f>IF(C907="","",VLOOKUP(C907,Background!$C$2:$D$7,2,FALSE))</f>
        <v/>
      </c>
    </row>
    <row r="908" spans="2:2" x14ac:dyDescent="0.25">
      <c r="B908" t="str">
        <f>IF(C908="","",VLOOKUP(C908,Background!$C$2:$D$7,2,FALSE))</f>
        <v/>
      </c>
    </row>
    <row r="909" spans="2:2" x14ac:dyDescent="0.25">
      <c r="B909" t="str">
        <f>IF(C909="","",VLOOKUP(C909,Background!$C$2:$D$7,2,FALSE))</f>
        <v/>
      </c>
    </row>
    <row r="910" spans="2:2" x14ac:dyDescent="0.25">
      <c r="B910" t="str">
        <f>IF(C910="","",VLOOKUP(C910,Background!$C$2:$D$7,2,FALSE))</f>
        <v/>
      </c>
    </row>
    <row r="911" spans="2:2" x14ac:dyDescent="0.25">
      <c r="B911" t="str">
        <f>IF(C911="","",VLOOKUP(C911,Background!$C$2:$D$7,2,FALSE))</f>
        <v/>
      </c>
    </row>
    <row r="912" spans="2:2" x14ac:dyDescent="0.25">
      <c r="B912" t="str">
        <f>IF(C912="","",VLOOKUP(C912,Background!$C$2:$D$7,2,FALSE))</f>
        <v/>
      </c>
    </row>
    <row r="913" spans="2:2" x14ac:dyDescent="0.25">
      <c r="B913" t="str">
        <f>IF(C913="","",VLOOKUP(C913,Background!$C$2:$D$7,2,FALSE))</f>
        <v/>
      </c>
    </row>
    <row r="914" spans="2:2" x14ac:dyDescent="0.25">
      <c r="B914" t="str">
        <f>IF(C914="","",VLOOKUP(C914,Background!$C$2:$D$7,2,FALSE))</f>
        <v/>
      </c>
    </row>
    <row r="915" spans="2:2" x14ac:dyDescent="0.25">
      <c r="B915" t="str">
        <f>IF(C915="","",VLOOKUP(C915,Background!$C$2:$D$7,2,FALSE))</f>
        <v/>
      </c>
    </row>
    <row r="916" spans="2:2" x14ac:dyDescent="0.25">
      <c r="B916" t="str">
        <f>IF(C916="","",VLOOKUP(C916,Background!$C$2:$D$7,2,FALSE))</f>
        <v/>
      </c>
    </row>
    <row r="917" spans="2:2" x14ac:dyDescent="0.25">
      <c r="B917" t="str">
        <f>IF(C917="","",VLOOKUP(C917,Background!$C$2:$D$7,2,FALSE))</f>
        <v/>
      </c>
    </row>
    <row r="918" spans="2:2" x14ac:dyDescent="0.25">
      <c r="B918" t="str">
        <f>IF(C918="","",VLOOKUP(C918,Background!$C$2:$D$7,2,FALSE))</f>
        <v/>
      </c>
    </row>
    <row r="919" spans="2:2" x14ac:dyDescent="0.25">
      <c r="B919" t="str">
        <f>IF(C919="","",VLOOKUP(C919,Background!$C$2:$D$7,2,FALSE))</f>
        <v/>
      </c>
    </row>
    <row r="920" spans="2:2" x14ac:dyDescent="0.25">
      <c r="B920" t="str">
        <f>IF(C920="","",VLOOKUP(C920,Background!$C$2:$D$7,2,FALSE))</f>
        <v/>
      </c>
    </row>
    <row r="921" spans="2:2" x14ac:dyDescent="0.25">
      <c r="B921" t="str">
        <f>IF(C921="","",VLOOKUP(C921,Background!$C$2:$D$7,2,FALSE))</f>
        <v/>
      </c>
    </row>
    <row r="922" spans="2:2" x14ac:dyDescent="0.25">
      <c r="B922" t="str">
        <f>IF(C922="","",VLOOKUP(C922,Background!$C$2:$D$7,2,FALSE))</f>
        <v/>
      </c>
    </row>
    <row r="923" spans="2:2" x14ac:dyDescent="0.25">
      <c r="B923" t="str">
        <f>IF(C923="","",VLOOKUP(C923,Background!$C$2:$D$7,2,FALSE))</f>
        <v/>
      </c>
    </row>
    <row r="924" spans="2:2" x14ac:dyDescent="0.25">
      <c r="B924" t="str">
        <f>IF(C924="","",VLOOKUP(C924,Background!$C$2:$D$7,2,FALSE))</f>
        <v/>
      </c>
    </row>
    <row r="925" spans="2:2" x14ac:dyDescent="0.25">
      <c r="B925" t="str">
        <f>IF(C925="","",VLOOKUP(C925,Background!$C$2:$D$7,2,FALSE))</f>
        <v/>
      </c>
    </row>
    <row r="926" spans="2:2" x14ac:dyDescent="0.25">
      <c r="B926" t="str">
        <f>IF(C926="","",VLOOKUP(C926,Background!$C$2:$D$7,2,FALSE))</f>
        <v/>
      </c>
    </row>
    <row r="927" spans="2:2" x14ac:dyDescent="0.25">
      <c r="B927" t="str">
        <f>IF(C927="","",VLOOKUP(C927,Background!$C$2:$D$7,2,FALSE))</f>
        <v/>
      </c>
    </row>
    <row r="928" spans="2:2" x14ac:dyDescent="0.25">
      <c r="B928" t="str">
        <f>IF(C928="","",VLOOKUP(C928,Background!$C$2:$D$7,2,FALSE))</f>
        <v/>
      </c>
    </row>
    <row r="929" spans="2:2" x14ac:dyDescent="0.25">
      <c r="B929" t="str">
        <f>IF(C929="","",VLOOKUP(C929,Background!$C$2:$D$7,2,FALSE))</f>
        <v/>
      </c>
    </row>
    <row r="930" spans="2:2" x14ac:dyDescent="0.25">
      <c r="B930" t="str">
        <f>IF(C930="","",VLOOKUP(C930,Background!$C$2:$D$7,2,FALSE))</f>
        <v/>
      </c>
    </row>
    <row r="931" spans="2:2" x14ac:dyDescent="0.25">
      <c r="B931" t="str">
        <f>IF(C931="","",VLOOKUP(C931,Background!$C$2:$D$7,2,FALSE))</f>
        <v/>
      </c>
    </row>
    <row r="932" spans="2:2" x14ac:dyDescent="0.25">
      <c r="B932" t="str">
        <f>IF(C932="","",VLOOKUP(C932,Background!$C$2:$D$7,2,FALSE))</f>
        <v/>
      </c>
    </row>
    <row r="933" spans="2:2" x14ac:dyDescent="0.25">
      <c r="B933" t="str">
        <f>IF(C933="","",VLOOKUP(C933,Background!$C$2:$D$7,2,FALSE))</f>
        <v/>
      </c>
    </row>
    <row r="934" spans="2:2" x14ac:dyDescent="0.25">
      <c r="B934" t="str">
        <f>IF(C934="","",VLOOKUP(C934,Background!$C$2:$D$7,2,FALSE))</f>
        <v/>
      </c>
    </row>
    <row r="935" spans="2:2" x14ac:dyDescent="0.25">
      <c r="B935" t="str">
        <f>IF(C935="","",VLOOKUP(C935,Background!$C$2:$D$7,2,FALSE))</f>
        <v/>
      </c>
    </row>
    <row r="936" spans="2:2" x14ac:dyDescent="0.25">
      <c r="B936" t="str">
        <f>IF(C936="","",VLOOKUP(C936,Background!$C$2:$D$7,2,FALSE))</f>
        <v/>
      </c>
    </row>
    <row r="937" spans="2:2" x14ac:dyDescent="0.25">
      <c r="B937" t="str">
        <f>IF(C937="","",VLOOKUP(C937,Background!$C$2:$D$7,2,FALSE))</f>
        <v/>
      </c>
    </row>
    <row r="938" spans="2:2" x14ac:dyDescent="0.25">
      <c r="B938" t="str">
        <f>IF(C938="","",VLOOKUP(C938,Background!$C$2:$D$7,2,FALSE))</f>
        <v/>
      </c>
    </row>
    <row r="939" spans="2:2" x14ac:dyDescent="0.25">
      <c r="B939" t="str">
        <f>IF(C939="","",VLOOKUP(C939,Background!$C$2:$D$7,2,FALSE))</f>
        <v/>
      </c>
    </row>
    <row r="940" spans="2:2" x14ac:dyDescent="0.25">
      <c r="B940" t="str">
        <f>IF(C940="","",VLOOKUP(C940,Background!$C$2:$D$7,2,FALSE))</f>
        <v/>
      </c>
    </row>
    <row r="941" spans="2:2" x14ac:dyDescent="0.25">
      <c r="B941" t="str">
        <f>IF(C941="","",VLOOKUP(C941,Background!$C$2:$D$7,2,FALSE))</f>
        <v/>
      </c>
    </row>
    <row r="942" spans="2:2" x14ac:dyDescent="0.25">
      <c r="B942" t="str">
        <f>IF(C942="","",VLOOKUP(C942,Background!$C$2:$D$7,2,FALSE))</f>
        <v/>
      </c>
    </row>
    <row r="943" spans="2:2" x14ac:dyDescent="0.25">
      <c r="B943" t="str">
        <f>IF(C943="","",VLOOKUP(C943,Background!$C$2:$D$7,2,FALSE))</f>
        <v/>
      </c>
    </row>
    <row r="944" spans="2:2" x14ac:dyDescent="0.25">
      <c r="B944" t="str">
        <f>IF(C944="","",VLOOKUP(C944,Background!$C$2:$D$7,2,FALSE))</f>
        <v/>
      </c>
    </row>
    <row r="945" spans="2:2" x14ac:dyDescent="0.25">
      <c r="B945" t="str">
        <f>IF(C945="","",VLOOKUP(C945,Background!$C$2:$D$7,2,FALSE))</f>
        <v/>
      </c>
    </row>
    <row r="946" spans="2:2" x14ac:dyDescent="0.25">
      <c r="B946" t="str">
        <f>IF(C946="","",VLOOKUP(C946,Background!$C$2:$D$7,2,FALSE))</f>
        <v/>
      </c>
    </row>
    <row r="947" spans="2:2" x14ac:dyDescent="0.25">
      <c r="B947" t="str">
        <f>IF(C947="","",VLOOKUP(C947,Background!$C$2:$D$7,2,FALSE))</f>
        <v/>
      </c>
    </row>
    <row r="948" spans="2:2" x14ac:dyDescent="0.25">
      <c r="B948" t="str">
        <f>IF(C948="","",VLOOKUP(C948,Background!$C$2:$D$7,2,FALSE))</f>
        <v/>
      </c>
    </row>
    <row r="949" spans="2:2" x14ac:dyDescent="0.25">
      <c r="B949" t="str">
        <f>IF(C949="","",VLOOKUP(C949,Background!$C$2:$D$7,2,FALSE))</f>
        <v/>
      </c>
    </row>
    <row r="950" spans="2:2" x14ac:dyDescent="0.25">
      <c r="B950" t="str">
        <f>IF(C950="","",VLOOKUP(C950,Background!$C$2:$D$7,2,FALSE))</f>
        <v/>
      </c>
    </row>
    <row r="951" spans="2:2" x14ac:dyDescent="0.25">
      <c r="B951" t="str">
        <f>IF(C951="","",VLOOKUP(C951,Background!$C$2:$D$7,2,FALSE))</f>
        <v/>
      </c>
    </row>
    <row r="952" spans="2:2" x14ac:dyDescent="0.25">
      <c r="B952" t="str">
        <f>IF(C952="","",VLOOKUP(C952,Background!$C$2:$D$7,2,FALSE))</f>
        <v/>
      </c>
    </row>
    <row r="953" spans="2:2" x14ac:dyDescent="0.25">
      <c r="B953" t="str">
        <f>IF(C953="","",VLOOKUP(C953,Background!$C$2:$D$7,2,FALSE))</f>
        <v/>
      </c>
    </row>
    <row r="954" spans="2:2" x14ac:dyDescent="0.25">
      <c r="B954" t="str">
        <f>IF(C954="","",VLOOKUP(C954,Background!$C$2:$D$7,2,FALSE))</f>
        <v/>
      </c>
    </row>
    <row r="955" spans="2:2" x14ac:dyDescent="0.25">
      <c r="B955" t="str">
        <f>IF(C955="","",VLOOKUP(C955,Background!$C$2:$D$7,2,FALSE))</f>
        <v/>
      </c>
    </row>
    <row r="956" spans="2:2" x14ac:dyDescent="0.25">
      <c r="B956" t="str">
        <f>IF(C956="","",VLOOKUP(C956,Background!$C$2:$D$7,2,FALSE))</f>
        <v/>
      </c>
    </row>
    <row r="957" spans="2:2" x14ac:dyDescent="0.25">
      <c r="B957" t="str">
        <f>IF(C957="","",VLOOKUP(C957,Background!$C$2:$D$7,2,FALSE))</f>
        <v/>
      </c>
    </row>
    <row r="958" spans="2:2" x14ac:dyDescent="0.25">
      <c r="B958" t="str">
        <f>IF(C958="","",VLOOKUP(C958,Background!$C$2:$D$7,2,FALSE))</f>
        <v/>
      </c>
    </row>
    <row r="959" spans="2:2" x14ac:dyDescent="0.25">
      <c r="B959" t="str">
        <f>IF(C959="","",VLOOKUP(C959,Background!$C$2:$D$7,2,FALSE))</f>
        <v/>
      </c>
    </row>
    <row r="960" spans="2:2" x14ac:dyDescent="0.25">
      <c r="B960" t="str">
        <f>IF(C960="","",VLOOKUP(C960,Background!$C$2:$D$7,2,FALSE))</f>
        <v/>
      </c>
    </row>
    <row r="961" spans="2:2" x14ac:dyDescent="0.25">
      <c r="B961" t="str">
        <f>IF(C961="","",VLOOKUP(C961,Background!$C$2:$D$7,2,FALSE))</f>
        <v/>
      </c>
    </row>
    <row r="962" spans="2:2" x14ac:dyDescent="0.25">
      <c r="B962" t="str">
        <f>IF(C962="","",VLOOKUP(C962,Background!$C$2:$D$7,2,FALSE))</f>
        <v/>
      </c>
    </row>
    <row r="963" spans="2:2" x14ac:dyDescent="0.25">
      <c r="B963" t="str">
        <f>IF(C963="","",VLOOKUP(C963,Background!$C$2:$D$7,2,FALSE))</f>
        <v/>
      </c>
    </row>
    <row r="964" spans="2:2" x14ac:dyDescent="0.25">
      <c r="B964" t="str">
        <f>IF(C964="","",VLOOKUP(C964,Background!$C$2:$D$7,2,FALSE))</f>
        <v/>
      </c>
    </row>
    <row r="965" spans="2:2" x14ac:dyDescent="0.25">
      <c r="B965" t="str">
        <f>IF(C965="","",VLOOKUP(C965,Background!$C$2:$D$7,2,FALSE))</f>
        <v/>
      </c>
    </row>
    <row r="966" spans="2:2" x14ac:dyDescent="0.25">
      <c r="B966" t="str">
        <f>IF(C966="","",VLOOKUP(C966,Background!$C$2:$D$7,2,FALSE))</f>
        <v/>
      </c>
    </row>
    <row r="967" spans="2:2" x14ac:dyDescent="0.25">
      <c r="B967" t="str">
        <f>IF(C967="","",VLOOKUP(C967,Background!$C$2:$D$7,2,FALSE))</f>
        <v/>
      </c>
    </row>
    <row r="968" spans="2:2" x14ac:dyDescent="0.25">
      <c r="B968" t="str">
        <f>IF(C968="","",VLOOKUP(C968,Background!$C$2:$D$7,2,FALSE))</f>
        <v/>
      </c>
    </row>
    <row r="969" spans="2:2" x14ac:dyDescent="0.25">
      <c r="B969" t="str">
        <f>IF(C969="","",VLOOKUP(C969,Background!$C$2:$D$7,2,FALSE))</f>
        <v/>
      </c>
    </row>
    <row r="970" spans="2:2" x14ac:dyDescent="0.25">
      <c r="B970" t="str">
        <f>IF(C970="","",VLOOKUP(C970,Background!$C$2:$D$7,2,FALSE))</f>
        <v/>
      </c>
    </row>
    <row r="971" spans="2:2" x14ac:dyDescent="0.25">
      <c r="B971" t="str">
        <f>IF(C971="","",VLOOKUP(C971,Background!$C$2:$D$7,2,FALSE))</f>
        <v/>
      </c>
    </row>
    <row r="972" spans="2:2" x14ac:dyDescent="0.25">
      <c r="B972" t="str">
        <f>IF(C972="","",VLOOKUP(C972,Background!$C$2:$D$7,2,FALSE))</f>
        <v/>
      </c>
    </row>
    <row r="973" spans="2:2" x14ac:dyDescent="0.25">
      <c r="B973" t="str">
        <f>IF(C973="","",VLOOKUP(C973,Background!$C$2:$D$7,2,FALSE))</f>
        <v/>
      </c>
    </row>
    <row r="974" spans="2:2" x14ac:dyDescent="0.25">
      <c r="B974" t="str">
        <f>IF(C974="","",VLOOKUP(C974,Background!$C$2:$D$7,2,FALSE))</f>
        <v/>
      </c>
    </row>
    <row r="975" spans="2:2" x14ac:dyDescent="0.25">
      <c r="B975" t="str">
        <f>IF(C975="","",VLOOKUP(C975,Background!$C$2:$D$7,2,FALSE))</f>
        <v/>
      </c>
    </row>
    <row r="976" spans="2:2" x14ac:dyDescent="0.25">
      <c r="B976" t="str">
        <f>IF(C976="","",VLOOKUP(C976,Background!$C$2:$D$7,2,FALSE))</f>
        <v/>
      </c>
    </row>
    <row r="977" spans="2:2" x14ac:dyDescent="0.25">
      <c r="B977" t="str">
        <f>IF(C977="","",VLOOKUP(C977,Background!$C$2:$D$7,2,FALSE))</f>
        <v/>
      </c>
    </row>
    <row r="978" spans="2:2" x14ac:dyDescent="0.25">
      <c r="B978" t="str">
        <f>IF(C978="","",VLOOKUP(C978,Background!$C$2:$D$7,2,FALSE))</f>
        <v/>
      </c>
    </row>
    <row r="979" spans="2:2" x14ac:dyDescent="0.25">
      <c r="B979" t="str">
        <f>IF(C979="","",VLOOKUP(C979,Background!$C$2:$D$7,2,FALSE))</f>
        <v/>
      </c>
    </row>
    <row r="980" spans="2:2" x14ac:dyDescent="0.25">
      <c r="B980" t="str">
        <f>IF(C980="","",VLOOKUP(C980,Background!$C$2:$D$7,2,FALSE))</f>
        <v/>
      </c>
    </row>
    <row r="981" spans="2:2" x14ac:dyDescent="0.25">
      <c r="B981" t="str">
        <f>IF(C981="","",VLOOKUP(C981,Background!$C$2:$D$7,2,FALSE))</f>
        <v/>
      </c>
    </row>
    <row r="982" spans="2:2" x14ac:dyDescent="0.25">
      <c r="B982" t="str">
        <f>IF(C982="","",VLOOKUP(C982,Background!$C$2:$D$7,2,FALSE))</f>
        <v/>
      </c>
    </row>
    <row r="983" spans="2:2" x14ac:dyDescent="0.25">
      <c r="B983" t="str">
        <f>IF(C983="","",VLOOKUP(C983,Background!$C$2:$D$7,2,FALSE))</f>
        <v/>
      </c>
    </row>
    <row r="984" spans="2:2" x14ac:dyDescent="0.25">
      <c r="B984" t="str">
        <f>IF(C984="","",VLOOKUP(C984,Background!$C$2:$D$7,2,FALSE))</f>
        <v/>
      </c>
    </row>
    <row r="985" spans="2:2" x14ac:dyDescent="0.25">
      <c r="B985" t="str">
        <f>IF(C985="","",VLOOKUP(C985,Background!$C$2:$D$7,2,FALSE))</f>
        <v/>
      </c>
    </row>
    <row r="986" spans="2:2" x14ac:dyDescent="0.25">
      <c r="B986" t="str">
        <f>IF(C986="","",VLOOKUP(C986,Background!$C$2:$D$7,2,FALSE))</f>
        <v/>
      </c>
    </row>
    <row r="987" spans="2:2" x14ac:dyDescent="0.25">
      <c r="B987" t="str">
        <f>IF(C987="","",VLOOKUP(C987,Background!$C$2:$D$7,2,FALSE))</f>
        <v/>
      </c>
    </row>
    <row r="988" spans="2:2" x14ac:dyDescent="0.25">
      <c r="B988" t="str">
        <f>IF(C988="","",VLOOKUP(C988,Background!$C$2:$D$7,2,FALSE))</f>
        <v/>
      </c>
    </row>
    <row r="989" spans="2:2" x14ac:dyDescent="0.25">
      <c r="B989" t="str">
        <f>IF(C989="","",VLOOKUP(C989,Background!$C$2:$D$7,2,FALSE))</f>
        <v/>
      </c>
    </row>
    <row r="990" spans="2:2" x14ac:dyDescent="0.25">
      <c r="B990" t="str">
        <f>IF(C990="","",VLOOKUP(C990,Background!$C$2:$D$7,2,FALSE))</f>
        <v/>
      </c>
    </row>
    <row r="991" spans="2:2" x14ac:dyDescent="0.25">
      <c r="B991" t="str">
        <f>IF(C991="","",VLOOKUP(C991,Background!$C$2:$D$7,2,FALSE))</f>
        <v/>
      </c>
    </row>
    <row r="992" spans="2:2" x14ac:dyDescent="0.25">
      <c r="B992" t="str">
        <f>IF(C992="","",VLOOKUP(C992,Background!$C$2:$D$7,2,FALSE))</f>
        <v/>
      </c>
    </row>
    <row r="993" spans="2:2" x14ac:dyDescent="0.25">
      <c r="B993" t="str">
        <f>IF(C993="","",VLOOKUP(C993,Background!$C$2:$D$7,2,FALSE))</f>
        <v/>
      </c>
    </row>
    <row r="994" spans="2:2" x14ac:dyDescent="0.25">
      <c r="B994" t="str">
        <f>IF(C994="","",VLOOKUP(C994,Background!$C$2:$D$7,2,FALSE))</f>
        <v/>
      </c>
    </row>
    <row r="995" spans="2:2" x14ac:dyDescent="0.25">
      <c r="B995" t="str">
        <f>IF(C995="","",VLOOKUP(C995,Background!$C$2:$D$7,2,FALSE))</f>
        <v/>
      </c>
    </row>
    <row r="996" spans="2:2" x14ac:dyDescent="0.25">
      <c r="B996" t="str">
        <f>IF(C996="","",VLOOKUP(C996,Background!$C$2:$D$7,2,FALSE))</f>
        <v/>
      </c>
    </row>
    <row r="997" spans="2:2" x14ac:dyDescent="0.25">
      <c r="B997" t="str">
        <f>IF(C997="","",VLOOKUP(C997,Background!$C$2:$D$7,2,FALSE))</f>
        <v/>
      </c>
    </row>
    <row r="998" spans="2:2" x14ac:dyDescent="0.25">
      <c r="B998" t="str">
        <f>IF(C998="","",VLOOKUP(C998,Background!$C$2:$D$7,2,FALSE))</f>
        <v/>
      </c>
    </row>
    <row r="999" spans="2:2" x14ac:dyDescent="0.25">
      <c r="B999" t="str">
        <f>IF(C999="","",VLOOKUP(C999,Background!$C$2:$D$7,2,FALSE))</f>
        <v/>
      </c>
    </row>
    <row r="1000" spans="2:2" x14ac:dyDescent="0.25">
      <c r="B1000" t="str">
        <f>IF(C1000="","",VLOOKUP(C1000,Background!$C$2:$D$7,2,FALSE))</f>
        <v/>
      </c>
    </row>
    <row r="1001" spans="2:2" x14ac:dyDescent="0.25">
      <c r="B1001" t="str">
        <f>IF(C1001="","",VLOOKUP(C1001,Background!$C$2:$D$7,2,FALSE))</f>
        <v/>
      </c>
    </row>
    <row r="1002" spans="2:2" x14ac:dyDescent="0.25">
      <c r="B1002" t="str">
        <f>IF(C1002="","",VLOOKUP(C1002,Background!$C$2:$D$7,2,FALSE))</f>
        <v/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6A4E133-A7BA-4C5A-BC2C-93B3564B70FA}">
          <x14:formula1>
            <xm:f>Background!$I$2:$I$6</xm:f>
          </x14:formula1>
          <xm:sqref>D2:D1048576</xm:sqref>
        </x14:dataValidation>
        <x14:dataValidation type="list" allowBlank="1" showInputMessage="1" showErrorMessage="1" xr:uid="{FD2BA51A-C3FA-4266-97A6-F78EA0EC56B7}">
          <x14:formula1>
            <xm:f>Targets!$C$17:$C$25</xm:f>
          </x14:formula1>
          <xm:sqref>C2:C1048576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A0AD8-2DF9-42C4-9781-494658308C10}">
  <sheetPr codeName="Sheet3"/>
  <dimension ref="B1:E215"/>
  <sheetViews>
    <sheetView showGridLines="0" workbookViewId="0">
      <selection activeCell="C53" sqref="C53"/>
    </sheetView>
  </sheetViews>
  <sheetFormatPr defaultRowHeight="15" x14ac:dyDescent="0.25"/>
  <cols>
    <col min="1" max="1" width="11.42578125" bestFit="1" customWidth="1"/>
    <col min="2" max="2" width="10.7109375" bestFit="1" customWidth="1"/>
    <col min="3" max="3" width="12.28515625" customWidth="1"/>
    <col min="4" max="4" width="28.7109375" customWidth="1"/>
    <col min="5" max="5" width="13.7109375" customWidth="1"/>
  </cols>
  <sheetData>
    <row r="1" spans="2:5" x14ac:dyDescent="0.25">
      <c r="B1" t="s">
        <v>9</v>
      </c>
      <c r="C1" t="s">
        <v>2</v>
      </c>
      <c r="D1" t="s">
        <v>3</v>
      </c>
      <c r="E1" t="s">
        <v>10</v>
      </c>
    </row>
    <row r="2" spans="2:5" x14ac:dyDescent="0.25">
      <c r="B2" s="7">
        <v>44805</v>
      </c>
      <c r="C2" t="str">
        <f>IF(Table2[[#This Row],[Name]]="","",VLOOKUP(Table2[[#This Row],[Name]],Background!$C:$D,2,FALSE))</f>
        <v>E4105</v>
      </c>
      <c r="D2" t="s">
        <v>11</v>
      </c>
      <c r="E2" s="55">
        <v>8</v>
      </c>
    </row>
    <row r="3" spans="2:5" x14ac:dyDescent="0.25">
      <c r="B3" s="7">
        <v>44805</v>
      </c>
      <c r="C3" t="str">
        <f>IF(Table2[[#This Row],[Name]]="","",VLOOKUP(Table2[[#This Row],[Name]],Background!$C:$D,2,FALSE))</f>
        <v>E4177</v>
      </c>
      <c r="D3" t="s">
        <v>14</v>
      </c>
      <c r="E3" s="55">
        <v>8</v>
      </c>
    </row>
    <row r="4" spans="2:5" x14ac:dyDescent="0.25">
      <c r="B4" s="7">
        <v>44806</v>
      </c>
      <c r="C4" t="str">
        <f>IF(Table2[[#This Row],[Name]]="","",VLOOKUP(Table2[[#This Row],[Name]],Background!$C:$D,2,FALSE))</f>
        <v>E4105</v>
      </c>
      <c r="D4" t="s">
        <v>11</v>
      </c>
      <c r="E4" s="55">
        <v>8</v>
      </c>
    </row>
    <row r="5" spans="2:5" x14ac:dyDescent="0.25">
      <c r="B5" s="7">
        <v>44806</v>
      </c>
      <c r="C5" t="str">
        <f>IF(Table2[[#This Row],[Name]]="","",VLOOKUP(Table2[[#This Row],[Name]],Background!$C:$D,2,FALSE))</f>
        <v>E3642</v>
      </c>
      <c r="D5" t="s">
        <v>12</v>
      </c>
      <c r="E5" s="55">
        <v>8</v>
      </c>
    </row>
    <row r="6" spans="2:5" x14ac:dyDescent="0.25">
      <c r="B6" s="7">
        <v>44806</v>
      </c>
      <c r="C6" t="str">
        <f>IF(Table2[[#This Row],[Name]]="","",VLOOKUP(Table2[[#This Row],[Name]],Background!$C:$D,2,FALSE))</f>
        <v>E4177</v>
      </c>
      <c r="D6" t="s">
        <v>14</v>
      </c>
      <c r="E6" s="55">
        <v>5</v>
      </c>
    </row>
    <row r="7" spans="2:5" x14ac:dyDescent="0.25">
      <c r="B7" s="7">
        <v>44807</v>
      </c>
      <c r="C7" t="str">
        <f>IF(Table2[[#This Row],[Name]]="","",VLOOKUP(Table2[[#This Row],[Name]],Background!$C:$D,2,FALSE))</f>
        <v>E4105</v>
      </c>
      <c r="D7" t="s">
        <v>11</v>
      </c>
      <c r="E7" s="55">
        <v>8</v>
      </c>
    </row>
    <row r="8" spans="2:5" x14ac:dyDescent="0.25">
      <c r="B8" s="7">
        <v>44807</v>
      </c>
      <c r="C8" t="str">
        <f>IF(Table2[[#This Row],[Name]]="","",VLOOKUP(Table2[[#This Row],[Name]],Background!$C:$D,2,FALSE))</f>
        <v>E4177</v>
      </c>
      <c r="D8" t="s">
        <v>14</v>
      </c>
      <c r="E8" s="55">
        <v>5</v>
      </c>
    </row>
    <row r="9" spans="2:5" x14ac:dyDescent="0.25">
      <c r="B9" s="7">
        <v>44807</v>
      </c>
      <c r="C9" t="str">
        <f>IF(Table2[[#This Row],[Name]]="","",VLOOKUP(Table2[[#This Row],[Name]],Background!$C:$D,2,FALSE))</f>
        <v>E3642</v>
      </c>
      <c r="D9" t="s">
        <v>12</v>
      </c>
      <c r="E9" s="55">
        <v>8</v>
      </c>
    </row>
    <row r="10" spans="2:5" x14ac:dyDescent="0.25">
      <c r="B10" s="7">
        <v>44807</v>
      </c>
      <c r="C10" t="str">
        <f>IF(Table2[[#This Row],[Name]]="","",VLOOKUP(Table2[[#This Row],[Name]],Background!$C:$D,2,FALSE))</f>
        <v>E5523</v>
      </c>
      <c r="D10" t="s">
        <v>13</v>
      </c>
      <c r="E10" s="55">
        <v>8</v>
      </c>
    </row>
    <row r="11" spans="2:5" x14ac:dyDescent="0.25">
      <c r="B11" s="7">
        <v>44808</v>
      </c>
      <c r="C11" t="str">
        <f>IF(Table2[[#This Row],[Name]]="","",VLOOKUP(Table2[[#This Row],[Name]],Background!$C:$D,2,FALSE))</f>
        <v>E4105</v>
      </c>
      <c r="D11" t="s">
        <v>11</v>
      </c>
      <c r="E11" s="55">
        <v>8</v>
      </c>
    </row>
    <row r="12" spans="2:5" x14ac:dyDescent="0.25">
      <c r="B12" s="7">
        <v>44808</v>
      </c>
      <c r="C12" t="str">
        <f>IF(Table2[[#This Row],[Name]]="","",VLOOKUP(Table2[[#This Row],[Name]],Background!$C:$D,2,FALSE))</f>
        <v>E3642</v>
      </c>
      <c r="D12" t="s">
        <v>12</v>
      </c>
      <c r="E12" s="55">
        <v>5</v>
      </c>
    </row>
    <row r="13" spans="2:5" x14ac:dyDescent="0.25">
      <c r="B13" s="7">
        <v>44808</v>
      </c>
      <c r="C13" t="str">
        <f>IF(Table2[[#This Row],[Name]]="","",VLOOKUP(Table2[[#This Row],[Name]],Background!$C:$D,2,FALSE))</f>
        <v>E5523</v>
      </c>
      <c r="D13" t="s">
        <v>13</v>
      </c>
      <c r="E13" s="55">
        <v>8</v>
      </c>
    </row>
    <row r="14" spans="2:5" x14ac:dyDescent="0.25">
      <c r="B14" s="7">
        <v>44808</v>
      </c>
      <c r="C14" t="str">
        <f>IF(Table2[[#This Row],[Name]]="","",VLOOKUP(Table2[[#This Row],[Name]],Background!$C:$D,2,FALSE))</f>
        <v>E3897</v>
      </c>
      <c r="D14" t="s">
        <v>22</v>
      </c>
      <c r="E14" s="55">
        <v>8</v>
      </c>
    </row>
    <row r="15" spans="2:5" x14ac:dyDescent="0.25">
      <c r="B15" s="7">
        <v>44809</v>
      </c>
      <c r="C15" t="str">
        <f>IF(Table2[[#This Row],[Name]]="","",VLOOKUP(Table2[[#This Row],[Name]],Background!$C:$D,2,FALSE))</f>
        <v>E4105</v>
      </c>
      <c r="D15" t="s">
        <v>11</v>
      </c>
      <c r="E15" s="55">
        <v>8</v>
      </c>
    </row>
    <row r="16" spans="2:5" x14ac:dyDescent="0.25">
      <c r="B16" s="7">
        <v>44809</v>
      </c>
      <c r="C16" t="str">
        <f>IF(Table2[[#This Row],[Name]]="","",VLOOKUP(Table2[[#This Row],[Name]],Background!$C:$D,2,FALSE))</f>
        <v>E5523</v>
      </c>
      <c r="D16" t="s">
        <v>13</v>
      </c>
      <c r="E16" s="55">
        <v>8</v>
      </c>
    </row>
    <row r="17" spans="2:5" x14ac:dyDescent="0.25">
      <c r="B17" s="7">
        <v>44809</v>
      </c>
      <c r="C17" t="str">
        <f>IF(Table2[[#This Row],[Name]]="","",VLOOKUP(Table2[[#This Row],[Name]],Background!$C:$D,2,FALSE))</f>
        <v>E3897</v>
      </c>
      <c r="D17" t="s">
        <v>22</v>
      </c>
      <c r="E17" s="55">
        <v>8</v>
      </c>
    </row>
    <row r="18" spans="2:5" x14ac:dyDescent="0.25">
      <c r="B18" s="7">
        <v>44809</v>
      </c>
      <c r="C18" t="str">
        <f>IF(Table2[[#This Row],[Name]]="","",VLOOKUP(Table2[[#This Row],[Name]],Background!$C:$D,2,FALSE))</f>
        <v>E5138</v>
      </c>
      <c r="D18" t="s">
        <v>15</v>
      </c>
      <c r="E18" s="55">
        <v>8</v>
      </c>
    </row>
    <row r="19" spans="2:5" x14ac:dyDescent="0.25">
      <c r="B19" s="7">
        <v>44810</v>
      </c>
      <c r="C19" t="str">
        <f>IF(Table2[[#This Row],[Name]]="","",VLOOKUP(Table2[[#This Row],[Name]],Background!$C:$D,2,FALSE))</f>
        <v>E4177</v>
      </c>
      <c r="D19" t="s">
        <v>14</v>
      </c>
      <c r="E19" s="55">
        <v>5</v>
      </c>
    </row>
    <row r="20" spans="2:5" x14ac:dyDescent="0.25">
      <c r="B20" s="7">
        <v>44810</v>
      </c>
      <c r="C20" t="str">
        <f>IF(Table2[[#This Row],[Name]]="","",VLOOKUP(Table2[[#This Row],[Name]],Background!$C:$D,2,FALSE))</f>
        <v>E5523</v>
      </c>
      <c r="D20" t="s">
        <v>13</v>
      </c>
      <c r="E20" s="55">
        <v>8</v>
      </c>
    </row>
    <row r="21" spans="2:5" x14ac:dyDescent="0.25">
      <c r="B21" s="7">
        <v>44810</v>
      </c>
      <c r="C21" t="str">
        <f>IF(Table2[[#This Row],[Name]]="","",VLOOKUP(Table2[[#This Row],[Name]],Background!$C:$D,2,FALSE))</f>
        <v>E3897</v>
      </c>
      <c r="D21" t="s">
        <v>22</v>
      </c>
      <c r="E21" s="55">
        <v>8</v>
      </c>
    </row>
    <row r="22" spans="2:5" x14ac:dyDescent="0.25">
      <c r="B22" s="7">
        <v>44810</v>
      </c>
      <c r="C22" t="str">
        <f>IF(Table2[[#This Row],[Name]]="","",VLOOKUP(Table2[[#This Row],[Name]],Background!$C:$D,2,FALSE))</f>
        <v>E5138</v>
      </c>
      <c r="D22" t="s">
        <v>15</v>
      </c>
      <c r="E22" s="55">
        <v>8</v>
      </c>
    </row>
    <row r="23" spans="2:5" x14ac:dyDescent="0.25">
      <c r="B23" s="7">
        <v>44811</v>
      </c>
      <c r="C23" t="str">
        <f>IF(Table2[[#This Row],[Name]]="","",VLOOKUP(Table2[[#This Row],[Name]],Background!$C:$D,2,FALSE))</f>
        <v>E4177</v>
      </c>
      <c r="D23" t="s">
        <v>14</v>
      </c>
      <c r="E23" s="55">
        <v>8</v>
      </c>
    </row>
    <row r="24" spans="2:5" x14ac:dyDescent="0.25">
      <c r="B24" s="7">
        <v>44811</v>
      </c>
      <c r="C24" t="str">
        <f>IF(Table2[[#This Row],[Name]]="","",VLOOKUP(Table2[[#This Row],[Name]],Background!$C:$D,2,FALSE))</f>
        <v>E5523</v>
      </c>
      <c r="D24" t="s">
        <v>13</v>
      </c>
      <c r="E24" s="55">
        <v>8</v>
      </c>
    </row>
    <row r="25" spans="2:5" x14ac:dyDescent="0.25">
      <c r="B25" s="7">
        <v>44811</v>
      </c>
      <c r="C25" t="str">
        <f>IF(Table2[[#This Row],[Name]]="","",VLOOKUP(Table2[[#This Row],[Name]],Background!$C:$D,2,FALSE))</f>
        <v>E3897</v>
      </c>
      <c r="D25" t="s">
        <v>22</v>
      </c>
      <c r="E25" s="55">
        <v>8</v>
      </c>
    </row>
    <row r="26" spans="2:5" x14ac:dyDescent="0.25">
      <c r="B26" s="7">
        <v>44811</v>
      </c>
      <c r="C26" t="str">
        <f>IF(Table2[[#This Row],[Name]]="","",VLOOKUP(Table2[[#This Row],[Name]],Background!$C:$D,2,FALSE))</f>
        <v>E5138</v>
      </c>
      <c r="D26" t="s">
        <v>15</v>
      </c>
      <c r="E26" s="55">
        <v>8</v>
      </c>
    </row>
    <row r="27" spans="2:5" x14ac:dyDescent="0.25">
      <c r="B27" s="7">
        <f>B2+7</f>
        <v>44812</v>
      </c>
      <c r="C27" t="str">
        <f>IF(Table2[[#This Row],[Name]]="","",VLOOKUP(Table2[[#This Row],[Name]],Background!$C:$D,2,FALSE))</f>
        <v>E4105</v>
      </c>
      <c r="D27" t="s">
        <v>11</v>
      </c>
      <c r="E27" s="55">
        <v>8</v>
      </c>
    </row>
    <row r="28" spans="2:5" x14ac:dyDescent="0.25">
      <c r="B28" s="7">
        <f t="shared" ref="B28:B51" si="0">B3+7</f>
        <v>44812</v>
      </c>
      <c r="C28" t="str">
        <f>IF(Table2[[#This Row],[Name]]="","",VLOOKUP(Table2[[#This Row],[Name]],Background!$C:$D,2,FALSE))</f>
        <v>E4177</v>
      </c>
      <c r="D28" t="s">
        <v>14</v>
      </c>
      <c r="E28" s="55">
        <v>8</v>
      </c>
    </row>
    <row r="29" spans="2:5" x14ac:dyDescent="0.25">
      <c r="B29" s="7">
        <f t="shared" si="0"/>
        <v>44813</v>
      </c>
      <c r="C29" t="str">
        <f>IF(Table2[[#This Row],[Name]]="","",VLOOKUP(Table2[[#This Row],[Name]],Background!$C:$D,2,FALSE))</f>
        <v>E4105</v>
      </c>
      <c r="D29" t="s">
        <v>11</v>
      </c>
      <c r="E29" s="55">
        <v>8</v>
      </c>
    </row>
    <row r="30" spans="2:5" x14ac:dyDescent="0.25">
      <c r="B30" s="7">
        <f t="shared" si="0"/>
        <v>44813</v>
      </c>
      <c r="C30" t="str">
        <f>IF(Table2[[#This Row],[Name]]="","",VLOOKUP(Table2[[#This Row],[Name]],Background!$C:$D,2,FALSE))</f>
        <v>E3642</v>
      </c>
      <c r="D30" t="s">
        <v>12</v>
      </c>
      <c r="E30" s="55">
        <v>8</v>
      </c>
    </row>
    <row r="31" spans="2:5" x14ac:dyDescent="0.25">
      <c r="B31" s="7">
        <f t="shared" si="0"/>
        <v>44813</v>
      </c>
      <c r="C31" t="str">
        <f>IF(Table2[[#This Row],[Name]]="","",VLOOKUP(Table2[[#This Row],[Name]],Background!$C:$D,2,FALSE))</f>
        <v>E4177</v>
      </c>
      <c r="D31" t="s">
        <v>14</v>
      </c>
      <c r="E31" s="55">
        <v>5</v>
      </c>
    </row>
    <row r="32" spans="2:5" x14ac:dyDescent="0.25">
      <c r="B32" s="7">
        <f t="shared" si="0"/>
        <v>44814</v>
      </c>
      <c r="C32" t="str">
        <f>IF(Table2[[#This Row],[Name]]="","",VLOOKUP(Table2[[#This Row],[Name]],Background!$C:$D,2,FALSE))</f>
        <v>E4105</v>
      </c>
      <c r="D32" t="s">
        <v>11</v>
      </c>
      <c r="E32" s="55">
        <v>8</v>
      </c>
    </row>
    <row r="33" spans="2:5" x14ac:dyDescent="0.25">
      <c r="B33" s="7">
        <f t="shared" si="0"/>
        <v>44814</v>
      </c>
      <c r="C33" t="str">
        <f>IF(Table2[[#This Row],[Name]]="","",VLOOKUP(Table2[[#This Row],[Name]],Background!$C:$D,2,FALSE))</f>
        <v>E4177</v>
      </c>
      <c r="D33" t="s">
        <v>14</v>
      </c>
      <c r="E33" s="55">
        <v>5</v>
      </c>
    </row>
    <row r="34" spans="2:5" x14ac:dyDescent="0.25">
      <c r="B34" s="7">
        <f t="shared" si="0"/>
        <v>44814</v>
      </c>
      <c r="C34" t="str">
        <f>IF(Table2[[#This Row],[Name]]="","",VLOOKUP(Table2[[#This Row],[Name]],Background!$C:$D,2,FALSE))</f>
        <v>E3642</v>
      </c>
      <c r="D34" t="s">
        <v>12</v>
      </c>
      <c r="E34" s="55">
        <v>8</v>
      </c>
    </row>
    <row r="35" spans="2:5" x14ac:dyDescent="0.25">
      <c r="B35" s="7">
        <f t="shared" si="0"/>
        <v>44814</v>
      </c>
      <c r="C35" t="str">
        <f>IF(Table2[[#This Row],[Name]]="","",VLOOKUP(Table2[[#This Row],[Name]],Background!$C:$D,2,FALSE))</f>
        <v>E5523</v>
      </c>
      <c r="D35" t="s">
        <v>13</v>
      </c>
      <c r="E35" s="55">
        <v>8</v>
      </c>
    </row>
    <row r="36" spans="2:5" x14ac:dyDescent="0.25">
      <c r="B36" s="7">
        <f t="shared" si="0"/>
        <v>44815</v>
      </c>
      <c r="C36" t="str">
        <f>IF(Table2[[#This Row],[Name]]="","",VLOOKUP(Table2[[#This Row],[Name]],Background!$C:$D,2,FALSE))</f>
        <v>E4105</v>
      </c>
      <c r="D36" t="s">
        <v>11</v>
      </c>
      <c r="E36" s="55">
        <v>8</v>
      </c>
    </row>
    <row r="37" spans="2:5" x14ac:dyDescent="0.25">
      <c r="B37" s="7">
        <f t="shared" si="0"/>
        <v>44815</v>
      </c>
      <c r="C37" t="str">
        <f>IF(Table2[[#This Row],[Name]]="","",VLOOKUP(Table2[[#This Row],[Name]],Background!$C:$D,2,FALSE))</f>
        <v>E3642</v>
      </c>
      <c r="D37" t="s">
        <v>12</v>
      </c>
      <c r="E37" s="55">
        <v>5</v>
      </c>
    </row>
    <row r="38" spans="2:5" x14ac:dyDescent="0.25">
      <c r="B38" s="7">
        <f t="shared" si="0"/>
        <v>44815</v>
      </c>
      <c r="C38" t="str">
        <f>IF(Table2[[#This Row],[Name]]="","",VLOOKUP(Table2[[#This Row],[Name]],Background!$C:$D,2,FALSE))</f>
        <v>E5523</v>
      </c>
      <c r="D38" t="s">
        <v>13</v>
      </c>
      <c r="E38" s="55">
        <v>8</v>
      </c>
    </row>
    <row r="39" spans="2:5" x14ac:dyDescent="0.25">
      <c r="B39" s="7">
        <f t="shared" si="0"/>
        <v>44815</v>
      </c>
      <c r="C39" t="str">
        <f>IF(Table2[[#This Row],[Name]]="","",VLOOKUP(Table2[[#This Row],[Name]],Background!$C:$D,2,FALSE))</f>
        <v>E3897</v>
      </c>
      <c r="D39" t="s">
        <v>22</v>
      </c>
      <c r="E39" s="55">
        <v>8</v>
      </c>
    </row>
    <row r="40" spans="2:5" x14ac:dyDescent="0.25">
      <c r="B40" s="7">
        <f t="shared" si="0"/>
        <v>44816</v>
      </c>
      <c r="C40" t="str">
        <f>IF(Table2[[#This Row],[Name]]="","",VLOOKUP(Table2[[#This Row],[Name]],Background!$C:$D,2,FALSE))</f>
        <v>E4105</v>
      </c>
      <c r="D40" t="s">
        <v>11</v>
      </c>
      <c r="E40" s="55">
        <v>8</v>
      </c>
    </row>
    <row r="41" spans="2:5" x14ac:dyDescent="0.25">
      <c r="B41" s="7">
        <f t="shared" si="0"/>
        <v>44816</v>
      </c>
      <c r="C41" t="str">
        <f>IF(Table2[[#This Row],[Name]]="","",VLOOKUP(Table2[[#This Row],[Name]],Background!$C:$D,2,FALSE))</f>
        <v>E5523</v>
      </c>
      <c r="D41" t="s">
        <v>13</v>
      </c>
      <c r="E41" s="55">
        <v>8</v>
      </c>
    </row>
    <row r="42" spans="2:5" x14ac:dyDescent="0.25">
      <c r="B42" s="7">
        <f t="shared" si="0"/>
        <v>44816</v>
      </c>
      <c r="C42" t="str">
        <f>IF(Table2[[#This Row],[Name]]="","",VLOOKUP(Table2[[#This Row],[Name]],Background!$C:$D,2,FALSE))</f>
        <v>E3897</v>
      </c>
      <c r="D42" t="s">
        <v>22</v>
      </c>
      <c r="E42" s="55">
        <v>8</v>
      </c>
    </row>
    <row r="43" spans="2:5" x14ac:dyDescent="0.25">
      <c r="B43" s="7">
        <f t="shared" si="0"/>
        <v>44816</v>
      </c>
      <c r="C43" t="str">
        <f>IF(Table2[[#This Row],[Name]]="","",VLOOKUP(Table2[[#This Row],[Name]],Background!$C:$D,2,FALSE))</f>
        <v>E5138</v>
      </c>
      <c r="D43" t="s">
        <v>15</v>
      </c>
      <c r="E43" s="55">
        <v>8</v>
      </c>
    </row>
    <row r="44" spans="2:5" x14ac:dyDescent="0.25">
      <c r="B44" s="7">
        <f t="shared" si="0"/>
        <v>44817</v>
      </c>
      <c r="C44" t="str">
        <f>IF(Table2[[#This Row],[Name]]="","",VLOOKUP(Table2[[#This Row],[Name]],Background!$C:$D,2,FALSE))</f>
        <v>E4177</v>
      </c>
      <c r="D44" t="s">
        <v>14</v>
      </c>
      <c r="E44" s="55">
        <v>5</v>
      </c>
    </row>
    <row r="45" spans="2:5" x14ac:dyDescent="0.25">
      <c r="B45" s="7">
        <f t="shared" si="0"/>
        <v>44817</v>
      </c>
      <c r="C45" t="str">
        <f>IF(Table2[[#This Row],[Name]]="","",VLOOKUP(Table2[[#This Row],[Name]],Background!$C:$D,2,FALSE))</f>
        <v>E5523</v>
      </c>
      <c r="D45" t="s">
        <v>13</v>
      </c>
      <c r="E45" s="55">
        <v>8</v>
      </c>
    </row>
    <row r="46" spans="2:5" x14ac:dyDescent="0.25">
      <c r="B46" s="7">
        <f t="shared" si="0"/>
        <v>44817</v>
      </c>
      <c r="C46" t="str">
        <f>IF(Table2[[#This Row],[Name]]="","",VLOOKUP(Table2[[#This Row],[Name]],Background!$C:$D,2,FALSE))</f>
        <v>E3897</v>
      </c>
      <c r="D46" t="s">
        <v>22</v>
      </c>
      <c r="E46" s="55">
        <v>8</v>
      </c>
    </row>
    <row r="47" spans="2:5" x14ac:dyDescent="0.25">
      <c r="B47" s="7">
        <f t="shared" si="0"/>
        <v>44817</v>
      </c>
      <c r="C47" t="str">
        <f>IF(Table2[[#This Row],[Name]]="","",VLOOKUP(Table2[[#This Row],[Name]],Background!$C:$D,2,FALSE))</f>
        <v>E5138</v>
      </c>
      <c r="D47" t="s">
        <v>15</v>
      </c>
      <c r="E47" s="55">
        <v>8</v>
      </c>
    </row>
    <row r="48" spans="2:5" x14ac:dyDescent="0.25">
      <c r="B48" s="7">
        <f t="shared" si="0"/>
        <v>44818</v>
      </c>
      <c r="C48" t="str">
        <f>IF(Table2[[#This Row],[Name]]="","",VLOOKUP(Table2[[#This Row],[Name]],Background!$C:$D,2,FALSE))</f>
        <v>E4177</v>
      </c>
      <c r="D48" t="s">
        <v>14</v>
      </c>
      <c r="E48" s="55">
        <v>8</v>
      </c>
    </row>
    <row r="49" spans="2:5" x14ac:dyDescent="0.25">
      <c r="B49" s="7">
        <f t="shared" si="0"/>
        <v>44818</v>
      </c>
      <c r="C49" t="str">
        <f>IF(Table2[[#This Row],[Name]]="","",VLOOKUP(Table2[[#This Row],[Name]],Background!$C:$D,2,FALSE))</f>
        <v>E5523</v>
      </c>
      <c r="D49" t="s">
        <v>13</v>
      </c>
      <c r="E49" s="55">
        <v>8</v>
      </c>
    </row>
    <row r="50" spans="2:5" x14ac:dyDescent="0.25">
      <c r="B50" s="7">
        <f t="shared" si="0"/>
        <v>44818</v>
      </c>
      <c r="C50" t="str">
        <f>IF(Table2[[#This Row],[Name]]="","",VLOOKUP(Table2[[#This Row],[Name]],Background!$C:$D,2,FALSE))</f>
        <v>E3897</v>
      </c>
      <c r="D50" t="s">
        <v>22</v>
      </c>
      <c r="E50" s="55">
        <v>8</v>
      </c>
    </row>
    <row r="51" spans="2:5" x14ac:dyDescent="0.25">
      <c r="B51" s="7">
        <f t="shared" si="0"/>
        <v>44818</v>
      </c>
      <c r="C51" t="str">
        <f>IF(Table2[[#This Row],[Name]]="","",VLOOKUP(Table2[[#This Row],[Name]],Background!$C:$D,2,FALSE))</f>
        <v>E5138</v>
      </c>
      <c r="D51" t="s">
        <v>15</v>
      </c>
      <c r="E51" s="55">
        <v>8</v>
      </c>
    </row>
    <row r="52" spans="2:5" x14ac:dyDescent="0.25">
      <c r="C52" t="str">
        <f>IF(Table2[[#This Row],[Name]]="","",VLOOKUP(Table2[[#This Row],[Name]],Background!$C:$D,2,FALSE))</f>
        <v/>
      </c>
    </row>
    <row r="53" spans="2:5" x14ac:dyDescent="0.25">
      <c r="C53" t="str">
        <f>IF(Table2[[#This Row],[Name]]="","",VLOOKUP(Table2[[#This Row],[Name]],Background!$C:$D,2,FALSE))</f>
        <v/>
      </c>
    </row>
    <row r="54" spans="2:5" x14ac:dyDescent="0.25">
      <c r="C54" t="str">
        <f>IF(Table2[[#This Row],[Name]]="","",VLOOKUP(Table2[[#This Row],[Name]],Background!$C:$D,2,FALSE))</f>
        <v/>
      </c>
    </row>
    <row r="55" spans="2:5" x14ac:dyDescent="0.25">
      <c r="C55" t="str">
        <f>IF(Table2[[#This Row],[Name]]="","",VLOOKUP(Table2[[#This Row],[Name]],Background!$C:$D,2,FALSE))</f>
        <v/>
      </c>
    </row>
    <row r="56" spans="2:5" x14ac:dyDescent="0.25">
      <c r="C56" t="str">
        <f>IF(Table2[[#This Row],[Name]]="","",VLOOKUP(Table2[[#This Row],[Name]],Background!$C:$D,2,FALSE))</f>
        <v/>
      </c>
    </row>
    <row r="57" spans="2:5" x14ac:dyDescent="0.25">
      <c r="C57" t="str">
        <f>IF(Table2[[#This Row],[Name]]="","",VLOOKUP(Table2[[#This Row],[Name]],Background!$C:$D,2,FALSE))</f>
        <v/>
      </c>
    </row>
    <row r="58" spans="2:5" x14ac:dyDescent="0.25">
      <c r="C58" t="str">
        <f>IF(Table2[[#This Row],[Name]]="","",VLOOKUP(Table2[[#This Row],[Name]],Background!$C:$D,2,FALSE))</f>
        <v/>
      </c>
    </row>
    <row r="59" spans="2:5" x14ac:dyDescent="0.25">
      <c r="C59" t="str">
        <f>IF(Table2[[#This Row],[Name]]="","",VLOOKUP(Table2[[#This Row],[Name]],Background!$C:$D,2,FALSE))</f>
        <v/>
      </c>
    </row>
    <row r="60" spans="2:5" x14ac:dyDescent="0.25">
      <c r="C60" t="str">
        <f>IF(Table2[[#This Row],[Name]]="","",VLOOKUP(Table2[[#This Row],[Name]],Background!$C:$D,2,FALSE))</f>
        <v/>
      </c>
    </row>
    <row r="61" spans="2:5" x14ac:dyDescent="0.25">
      <c r="C61" t="str">
        <f>IF(Table2[[#This Row],[Name]]="","",VLOOKUP(Table2[[#This Row],[Name]],Background!$C:$D,2,FALSE))</f>
        <v/>
      </c>
    </row>
    <row r="62" spans="2:5" x14ac:dyDescent="0.25">
      <c r="C62" t="str">
        <f>IF(Table2[[#This Row],[Name]]="","",VLOOKUP(Table2[[#This Row],[Name]],Background!$C:$D,2,FALSE))</f>
        <v/>
      </c>
    </row>
    <row r="63" spans="2:5" x14ac:dyDescent="0.25">
      <c r="C63" t="str">
        <f>IF(Table2[[#This Row],[Name]]="","",VLOOKUP(Table2[[#This Row],[Name]],Background!$C:$D,2,FALSE))</f>
        <v/>
      </c>
    </row>
    <row r="64" spans="2:5" x14ac:dyDescent="0.25">
      <c r="C64" t="str">
        <f>IF(Table2[[#This Row],[Name]]="","",VLOOKUP(Table2[[#This Row],[Name]],Background!$C:$D,2,FALSE))</f>
        <v/>
      </c>
    </row>
    <row r="65" spans="3:3" x14ac:dyDescent="0.25">
      <c r="C65" t="str">
        <f>IF(Table2[[#This Row],[Name]]="","",VLOOKUP(Table2[[#This Row],[Name]],Background!$C:$D,2,FALSE))</f>
        <v/>
      </c>
    </row>
    <row r="66" spans="3:3" x14ac:dyDescent="0.25">
      <c r="C66" t="str">
        <f>IF(Table2[[#This Row],[Name]]="","",VLOOKUP(Table2[[#This Row],[Name]],Background!$C:$D,2,FALSE))</f>
        <v/>
      </c>
    </row>
    <row r="67" spans="3:3" x14ac:dyDescent="0.25">
      <c r="C67" t="str">
        <f>IF(Table2[[#This Row],[Name]]="","",VLOOKUP(Table2[[#This Row],[Name]],Background!$C:$D,2,FALSE))</f>
        <v/>
      </c>
    </row>
    <row r="68" spans="3:3" x14ac:dyDescent="0.25">
      <c r="C68" t="str">
        <f>IF(Table2[[#This Row],[Name]]="","",VLOOKUP(Table2[[#This Row],[Name]],Background!$C:$D,2,FALSE))</f>
        <v/>
      </c>
    </row>
    <row r="69" spans="3:3" x14ac:dyDescent="0.25">
      <c r="C69" t="str">
        <f>IF(Table2[[#This Row],[Name]]="","",VLOOKUP(Table2[[#This Row],[Name]],Background!$C:$D,2,FALSE))</f>
        <v/>
      </c>
    </row>
    <row r="70" spans="3:3" x14ac:dyDescent="0.25">
      <c r="C70" t="str">
        <f>IF(Table2[[#This Row],[Name]]="","",VLOOKUP(Table2[[#This Row],[Name]],Background!$C:$D,2,FALSE))</f>
        <v/>
      </c>
    </row>
    <row r="71" spans="3:3" x14ac:dyDescent="0.25">
      <c r="C71" t="str">
        <f>IF(Table2[[#This Row],[Name]]="","",VLOOKUP(Table2[[#This Row],[Name]],Background!$C:$D,2,FALSE))</f>
        <v/>
      </c>
    </row>
    <row r="72" spans="3:3" x14ac:dyDescent="0.25">
      <c r="C72" t="str">
        <f>IF(Table2[[#This Row],[Name]]="","",VLOOKUP(Table2[[#This Row],[Name]],Background!$C:$D,2,FALSE))</f>
        <v/>
      </c>
    </row>
    <row r="73" spans="3:3" x14ac:dyDescent="0.25">
      <c r="C73" t="str">
        <f>IF(Table2[[#This Row],[Name]]="","",VLOOKUP(Table2[[#This Row],[Name]],Background!$C:$D,2,FALSE))</f>
        <v/>
      </c>
    </row>
    <row r="74" spans="3:3" x14ac:dyDescent="0.25">
      <c r="C74" t="str">
        <f>IF(Table2[[#This Row],[Name]]="","",VLOOKUP(Table2[[#This Row],[Name]],Background!$C:$D,2,FALSE))</f>
        <v/>
      </c>
    </row>
    <row r="75" spans="3:3" x14ac:dyDescent="0.25">
      <c r="C75" t="str">
        <f>IF(Table2[[#This Row],[Name]]="","",VLOOKUP(Table2[[#This Row],[Name]],Background!$C:$D,2,FALSE))</f>
        <v/>
      </c>
    </row>
    <row r="76" spans="3:3" x14ac:dyDescent="0.25">
      <c r="C76" t="str">
        <f>IF(Table2[[#This Row],[Name]]="","",VLOOKUP(Table2[[#This Row],[Name]],Background!$C:$D,2,FALSE))</f>
        <v/>
      </c>
    </row>
    <row r="77" spans="3:3" x14ac:dyDescent="0.25">
      <c r="C77" t="str">
        <f>IF(Table2[[#This Row],[Name]]="","",VLOOKUP(Table2[[#This Row],[Name]],Background!$C:$D,2,FALSE))</f>
        <v/>
      </c>
    </row>
    <row r="78" spans="3:3" x14ac:dyDescent="0.25">
      <c r="C78" t="str">
        <f>IF(Table2[[#This Row],[Name]]="","",VLOOKUP(Table2[[#This Row],[Name]],Background!$C:$D,2,FALSE))</f>
        <v/>
      </c>
    </row>
    <row r="79" spans="3:3" x14ac:dyDescent="0.25">
      <c r="C79" t="str">
        <f>IF(Table2[[#This Row],[Name]]="","",VLOOKUP(Table2[[#This Row],[Name]],Background!$C:$D,2,FALSE))</f>
        <v/>
      </c>
    </row>
    <row r="80" spans="3:3" x14ac:dyDescent="0.25">
      <c r="C80" t="str">
        <f>IF(Table2[[#This Row],[Name]]="","",VLOOKUP(Table2[[#This Row],[Name]],Background!$C:$D,2,FALSE))</f>
        <v/>
      </c>
    </row>
    <row r="81" spans="3:3" x14ac:dyDescent="0.25">
      <c r="C81" t="str">
        <f>IF(Table2[[#This Row],[Name]]="","",VLOOKUP(Table2[[#This Row],[Name]],Background!$C:$D,2,FALSE))</f>
        <v/>
      </c>
    </row>
    <row r="82" spans="3:3" x14ac:dyDescent="0.25">
      <c r="C82" t="str">
        <f>IF(Table2[[#This Row],[Name]]="","",VLOOKUP(Table2[[#This Row],[Name]],Background!$C:$D,2,FALSE))</f>
        <v/>
      </c>
    </row>
    <row r="83" spans="3:3" x14ac:dyDescent="0.25">
      <c r="C83" t="str">
        <f>IF(Table2[[#This Row],[Name]]="","",VLOOKUP(Table2[[#This Row],[Name]],Background!$C:$D,2,FALSE))</f>
        <v/>
      </c>
    </row>
    <row r="84" spans="3:3" x14ac:dyDescent="0.25">
      <c r="C84" t="str">
        <f>IF(Table2[[#This Row],[Name]]="","",VLOOKUP(Table2[[#This Row],[Name]],Background!$C:$D,2,FALSE))</f>
        <v/>
      </c>
    </row>
    <row r="85" spans="3:3" x14ac:dyDescent="0.25">
      <c r="C85" t="str">
        <f>IF(Table2[[#This Row],[Name]]="","",VLOOKUP(Table2[[#This Row],[Name]],Background!$C:$D,2,FALSE))</f>
        <v/>
      </c>
    </row>
    <row r="86" spans="3:3" x14ac:dyDescent="0.25">
      <c r="C86" t="str">
        <f>IF(Table2[[#This Row],[Name]]="","",VLOOKUP(Table2[[#This Row],[Name]],Background!$C:$D,2,FALSE))</f>
        <v/>
      </c>
    </row>
    <row r="87" spans="3:3" x14ac:dyDescent="0.25">
      <c r="C87" t="str">
        <f>IF(Table2[[#This Row],[Name]]="","",VLOOKUP(Table2[[#This Row],[Name]],Background!$C:$D,2,FALSE))</f>
        <v/>
      </c>
    </row>
    <row r="88" spans="3:3" x14ac:dyDescent="0.25">
      <c r="C88" t="str">
        <f>IF(Table2[[#This Row],[Name]]="","",VLOOKUP(Table2[[#This Row],[Name]],Background!$C:$D,2,FALSE))</f>
        <v/>
      </c>
    </row>
    <row r="89" spans="3:3" x14ac:dyDescent="0.25">
      <c r="C89" t="str">
        <f>IF(Table2[[#This Row],[Name]]="","",VLOOKUP(Table2[[#This Row],[Name]],Background!$C:$D,2,FALSE))</f>
        <v/>
      </c>
    </row>
    <row r="90" spans="3:3" x14ac:dyDescent="0.25">
      <c r="C90" t="str">
        <f>IF(Table2[[#This Row],[Name]]="","",VLOOKUP(Table2[[#This Row],[Name]],Background!$C:$D,2,FALSE))</f>
        <v/>
      </c>
    </row>
    <row r="91" spans="3:3" x14ac:dyDescent="0.25">
      <c r="C91" t="str">
        <f>IF(Table2[[#This Row],[Name]]="","",VLOOKUP(Table2[[#This Row],[Name]],Background!$C:$D,2,FALSE))</f>
        <v/>
      </c>
    </row>
    <row r="92" spans="3:3" x14ac:dyDescent="0.25">
      <c r="C92" t="str">
        <f>IF(Table2[[#This Row],[Name]]="","",VLOOKUP(Table2[[#This Row],[Name]],Background!$C:$D,2,FALSE))</f>
        <v/>
      </c>
    </row>
    <row r="93" spans="3:3" x14ac:dyDescent="0.25">
      <c r="C93" t="str">
        <f>IF(Table2[[#This Row],[Name]]="","",VLOOKUP(Table2[[#This Row],[Name]],Background!$C:$D,2,FALSE))</f>
        <v/>
      </c>
    </row>
    <row r="94" spans="3:3" x14ac:dyDescent="0.25">
      <c r="C94" t="str">
        <f>IF(Table2[[#This Row],[Name]]="","",VLOOKUP(Table2[[#This Row],[Name]],Background!$C:$D,2,FALSE))</f>
        <v/>
      </c>
    </row>
    <row r="95" spans="3:3" x14ac:dyDescent="0.25">
      <c r="C95" t="str">
        <f>IF(Table2[[#This Row],[Name]]="","",VLOOKUP(Table2[[#This Row],[Name]],Background!$C:$D,2,FALSE))</f>
        <v/>
      </c>
    </row>
    <row r="96" spans="3:3" x14ac:dyDescent="0.25">
      <c r="C96" t="str">
        <f>IF(Table2[[#This Row],[Name]]="","",VLOOKUP(Table2[[#This Row],[Name]],Background!$C:$D,2,FALSE))</f>
        <v/>
      </c>
    </row>
    <row r="97" spans="3:3" x14ac:dyDescent="0.25">
      <c r="C97" t="str">
        <f>IF(Table2[[#This Row],[Name]]="","",VLOOKUP(Table2[[#This Row],[Name]],Background!$C:$D,2,FALSE))</f>
        <v/>
      </c>
    </row>
    <row r="98" spans="3:3" x14ac:dyDescent="0.25">
      <c r="C98" t="str">
        <f>IF(Table2[[#This Row],[Name]]="","",VLOOKUP(Table2[[#This Row],[Name]],Background!$C:$D,2,FALSE))</f>
        <v/>
      </c>
    </row>
    <row r="99" spans="3:3" x14ac:dyDescent="0.25">
      <c r="C99" t="str">
        <f>IF(Table2[[#This Row],[Name]]="","",VLOOKUP(Table2[[#This Row],[Name]],Background!$C:$D,2,FALSE))</f>
        <v/>
      </c>
    </row>
    <row r="100" spans="3:3" x14ac:dyDescent="0.25">
      <c r="C100" t="str">
        <f>IF(Table2[[#This Row],[Name]]="","",VLOOKUP(Table2[[#This Row],[Name]],Background!$C:$D,2,FALSE))</f>
        <v/>
      </c>
    </row>
    <row r="101" spans="3:3" x14ac:dyDescent="0.25">
      <c r="C101" t="str">
        <f>IF(Table2[[#This Row],[Name]]="","",VLOOKUP(Table2[[#This Row],[Name]],Background!$C:$D,2,FALSE))</f>
        <v/>
      </c>
    </row>
    <row r="102" spans="3:3" x14ac:dyDescent="0.25">
      <c r="C102" t="str">
        <f>IF(Table2[[#This Row],[Name]]="","",VLOOKUP(Table2[[#This Row],[Name]],Background!$C:$D,2,FALSE))</f>
        <v/>
      </c>
    </row>
    <row r="103" spans="3:3" x14ac:dyDescent="0.25">
      <c r="C103" t="str">
        <f>IF(Table2[[#This Row],[Name]]="","",VLOOKUP(Table2[[#This Row],[Name]],Background!$C:$D,2,FALSE))</f>
        <v/>
      </c>
    </row>
    <row r="104" spans="3:3" x14ac:dyDescent="0.25">
      <c r="C104" t="str">
        <f>IF(Table2[[#This Row],[Name]]="","",VLOOKUP(Table2[[#This Row],[Name]],Background!$C:$D,2,FALSE))</f>
        <v/>
      </c>
    </row>
    <row r="105" spans="3:3" x14ac:dyDescent="0.25">
      <c r="C105" t="str">
        <f>IF(Table2[[#This Row],[Name]]="","",VLOOKUP(Table2[[#This Row],[Name]],Background!$C:$D,2,FALSE))</f>
        <v/>
      </c>
    </row>
    <row r="106" spans="3:3" x14ac:dyDescent="0.25">
      <c r="C106" t="str">
        <f>IF(Table2[[#This Row],[Name]]="","",VLOOKUP(Table2[[#This Row],[Name]],Background!$C:$D,2,FALSE))</f>
        <v/>
      </c>
    </row>
    <row r="107" spans="3:3" x14ac:dyDescent="0.25">
      <c r="C107" t="str">
        <f>IF(Table2[[#This Row],[Name]]="","",VLOOKUP(Table2[[#This Row],[Name]],Background!$C:$D,2,FALSE))</f>
        <v/>
      </c>
    </row>
    <row r="108" spans="3:3" x14ac:dyDescent="0.25">
      <c r="C108" t="str">
        <f>IF(Table2[[#This Row],[Name]]="","",VLOOKUP(Table2[[#This Row],[Name]],Background!$C:$D,2,FALSE))</f>
        <v/>
      </c>
    </row>
    <row r="109" spans="3:3" x14ac:dyDescent="0.25">
      <c r="C109" t="str">
        <f>IF(Table2[[#This Row],[Name]]="","",VLOOKUP(Table2[[#This Row],[Name]],Background!$C:$D,2,FALSE))</f>
        <v/>
      </c>
    </row>
    <row r="110" spans="3:3" x14ac:dyDescent="0.25">
      <c r="C110" t="str">
        <f>IF(Table2[[#This Row],[Name]]="","",VLOOKUP(Table2[[#This Row],[Name]],Background!$C:$D,2,FALSE))</f>
        <v/>
      </c>
    </row>
    <row r="111" spans="3:3" x14ac:dyDescent="0.25">
      <c r="C111" t="str">
        <f>IF(Table2[[#This Row],[Name]]="","",VLOOKUP(Table2[[#This Row],[Name]],Background!$C:$D,2,FALSE))</f>
        <v/>
      </c>
    </row>
    <row r="112" spans="3:3" x14ac:dyDescent="0.25">
      <c r="C112" t="str">
        <f>IF(Table2[[#This Row],[Name]]="","",VLOOKUP(Table2[[#This Row],[Name]],Background!$C:$D,2,FALSE))</f>
        <v/>
      </c>
    </row>
    <row r="113" spans="3:3" x14ac:dyDescent="0.25">
      <c r="C113" t="str">
        <f>IF(Table2[[#This Row],[Name]]="","",VLOOKUP(Table2[[#This Row],[Name]],Background!$C:$D,2,FALSE))</f>
        <v/>
      </c>
    </row>
    <row r="114" spans="3:3" x14ac:dyDescent="0.25">
      <c r="C114" t="str">
        <f>IF(Table2[[#This Row],[Name]]="","",VLOOKUP(Table2[[#This Row],[Name]],Background!$C:$D,2,FALSE))</f>
        <v/>
      </c>
    </row>
    <row r="115" spans="3:3" x14ac:dyDescent="0.25">
      <c r="C115" t="str">
        <f>IF(Table2[[#This Row],[Name]]="","",VLOOKUP(Table2[[#This Row],[Name]],Background!$C:$D,2,FALSE))</f>
        <v/>
      </c>
    </row>
    <row r="116" spans="3:3" x14ac:dyDescent="0.25">
      <c r="C116" t="str">
        <f>IF(Table2[[#This Row],[Name]]="","",VLOOKUP(Table2[[#This Row],[Name]],Background!$C:$D,2,FALSE))</f>
        <v/>
      </c>
    </row>
    <row r="117" spans="3:3" x14ac:dyDescent="0.25">
      <c r="C117" t="str">
        <f>IF(Table2[[#This Row],[Name]]="","",VLOOKUP(Table2[[#This Row],[Name]],Background!$C:$D,2,FALSE))</f>
        <v/>
      </c>
    </row>
    <row r="118" spans="3:3" x14ac:dyDescent="0.25">
      <c r="C118" t="str">
        <f>IF(Table2[[#This Row],[Name]]="","",VLOOKUP(Table2[[#This Row],[Name]],Background!$C:$D,2,FALSE))</f>
        <v/>
      </c>
    </row>
    <row r="119" spans="3:3" x14ac:dyDescent="0.25">
      <c r="C119" t="str">
        <f>IF(Table2[[#This Row],[Name]]="","",VLOOKUP(Table2[[#This Row],[Name]],Background!$C:$D,2,FALSE))</f>
        <v/>
      </c>
    </row>
    <row r="120" spans="3:3" x14ac:dyDescent="0.25">
      <c r="C120" t="str">
        <f>IF(Table2[[#This Row],[Name]]="","",VLOOKUP(Table2[[#This Row],[Name]],Background!$C:$D,2,FALSE))</f>
        <v/>
      </c>
    </row>
    <row r="121" spans="3:3" x14ac:dyDescent="0.25">
      <c r="C121" t="str">
        <f>IF(Table2[[#This Row],[Name]]="","",VLOOKUP(Table2[[#This Row],[Name]],Background!$C:$D,2,FALSE))</f>
        <v/>
      </c>
    </row>
    <row r="122" spans="3:3" x14ac:dyDescent="0.25">
      <c r="C122" t="str">
        <f>IF(Table2[[#This Row],[Name]]="","",VLOOKUP(Table2[[#This Row],[Name]],Background!$C:$D,2,FALSE))</f>
        <v/>
      </c>
    </row>
    <row r="123" spans="3:3" x14ac:dyDescent="0.25">
      <c r="C123" t="str">
        <f>IF(Table2[[#This Row],[Name]]="","",VLOOKUP(Table2[[#This Row],[Name]],Background!$C:$D,2,FALSE))</f>
        <v/>
      </c>
    </row>
    <row r="124" spans="3:3" x14ac:dyDescent="0.25">
      <c r="C124" t="str">
        <f>IF(Table2[[#This Row],[Name]]="","",VLOOKUP(Table2[[#This Row],[Name]],Background!$C:$D,2,FALSE))</f>
        <v/>
      </c>
    </row>
    <row r="125" spans="3:3" x14ac:dyDescent="0.25">
      <c r="C125" t="str">
        <f>IF(Table2[[#This Row],[Name]]="","",VLOOKUP(Table2[[#This Row],[Name]],Background!$C:$D,2,FALSE))</f>
        <v/>
      </c>
    </row>
    <row r="126" spans="3:3" x14ac:dyDescent="0.25">
      <c r="C126" t="str">
        <f>IF(Table2[[#This Row],[Name]]="","",VLOOKUP(Table2[[#This Row],[Name]],Background!$C:$D,2,FALSE))</f>
        <v/>
      </c>
    </row>
    <row r="127" spans="3:3" x14ac:dyDescent="0.25">
      <c r="C127" t="str">
        <f>IF(Table2[[#This Row],[Name]]="","",VLOOKUP(Table2[[#This Row],[Name]],Background!$C:$D,2,FALSE))</f>
        <v/>
      </c>
    </row>
    <row r="128" spans="3:3" x14ac:dyDescent="0.25">
      <c r="C128" t="str">
        <f>IF(Table2[[#This Row],[Name]]="","",VLOOKUP(Table2[[#This Row],[Name]],Background!$C:$D,2,FALSE))</f>
        <v/>
      </c>
    </row>
    <row r="129" spans="3:3" x14ac:dyDescent="0.25">
      <c r="C129" t="str">
        <f>IF(Table2[[#This Row],[Name]]="","",VLOOKUP(Table2[[#This Row],[Name]],Background!$C:$D,2,FALSE))</f>
        <v/>
      </c>
    </row>
    <row r="130" spans="3:3" x14ac:dyDescent="0.25">
      <c r="C130" t="str">
        <f>IF(Table2[[#This Row],[Name]]="","",VLOOKUP(Table2[[#This Row],[Name]],Background!$C:$D,2,FALSE))</f>
        <v/>
      </c>
    </row>
    <row r="131" spans="3:3" x14ac:dyDescent="0.25">
      <c r="C131" t="str">
        <f>IF(Table2[[#This Row],[Name]]="","",VLOOKUP(Table2[[#This Row],[Name]],Background!$C:$D,2,FALSE))</f>
        <v/>
      </c>
    </row>
    <row r="132" spans="3:3" x14ac:dyDescent="0.25">
      <c r="C132" t="str">
        <f>IF(Table2[[#This Row],[Name]]="","",VLOOKUP(Table2[[#This Row],[Name]],Background!$C:$D,2,FALSE))</f>
        <v/>
      </c>
    </row>
    <row r="133" spans="3:3" x14ac:dyDescent="0.25">
      <c r="C133" t="str">
        <f>IF(Table2[[#This Row],[Name]]="","",VLOOKUP(Table2[[#This Row],[Name]],Background!$C:$D,2,FALSE))</f>
        <v/>
      </c>
    </row>
    <row r="134" spans="3:3" x14ac:dyDescent="0.25">
      <c r="C134" t="str">
        <f>IF(Table2[[#This Row],[Name]]="","",VLOOKUP(Table2[[#This Row],[Name]],Background!$C:$D,2,FALSE))</f>
        <v/>
      </c>
    </row>
    <row r="135" spans="3:3" x14ac:dyDescent="0.25">
      <c r="C135" t="str">
        <f>IF(Table2[[#This Row],[Name]]="","",VLOOKUP(Table2[[#This Row],[Name]],Background!$C:$D,2,FALSE))</f>
        <v/>
      </c>
    </row>
    <row r="136" spans="3:3" x14ac:dyDescent="0.25">
      <c r="C136" t="str">
        <f>IF(Table2[[#This Row],[Name]]="","",VLOOKUP(Table2[[#This Row],[Name]],Background!$C:$D,2,FALSE))</f>
        <v/>
      </c>
    </row>
    <row r="137" spans="3:3" x14ac:dyDescent="0.25">
      <c r="C137" t="str">
        <f>IF(Table2[[#This Row],[Name]]="","",VLOOKUP(Table2[[#This Row],[Name]],Background!$C:$D,2,FALSE))</f>
        <v/>
      </c>
    </row>
    <row r="138" spans="3:3" x14ac:dyDescent="0.25">
      <c r="C138" t="str">
        <f>IF(Table2[[#This Row],[Name]]="","",VLOOKUP(Table2[[#This Row],[Name]],Background!$C:$D,2,FALSE))</f>
        <v/>
      </c>
    </row>
    <row r="139" spans="3:3" x14ac:dyDescent="0.25">
      <c r="C139" t="str">
        <f>IF(Table2[[#This Row],[Name]]="","",VLOOKUP(Table2[[#This Row],[Name]],Background!$C:$D,2,FALSE))</f>
        <v/>
      </c>
    </row>
    <row r="140" spans="3:3" x14ac:dyDescent="0.25">
      <c r="C140" t="str">
        <f>IF(Table2[[#This Row],[Name]]="","",VLOOKUP(Table2[[#This Row],[Name]],Background!$C:$D,2,FALSE))</f>
        <v/>
      </c>
    </row>
    <row r="141" spans="3:3" x14ac:dyDescent="0.25">
      <c r="C141" t="str">
        <f>IF(Table2[[#This Row],[Name]]="","",VLOOKUP(Table2[[#This Row],[Name]],Background!$C:$D,2,FALSE))</f>
        <v/>
      </c>
    </row>
    <row r="142" spans="3:3" x14ac:dyDescent="0.25">
      <c r="C142" t="str">
        <f>IF(Table2[[#This Row],[Name]]="","",VLOOKUP(Table2[[#This Row],[Name]],Background!$C:$D,2,FALSE))</f>
        <v/>
      </c>
    </row>
    <row r="143" spans="3:3" x14ac:dyDescent="0.25">
      <c r="C143" t="str">
        <f>IF(Table2[[#This Row],[Name]]="","",VLOOKUP(Table2[[#This Row],[Name]],Background!$C:$D,2,FALSE))</f>
        <v/>
      </c>
    </row>
    <row r="144" spans="3:3" x14ac:dyDescent="0.25">
      <c r="C144" t="str">
        <f>IF(Table2[[#This Row],[Name]]="","",VLOOKUP(Table2[[#This Row],[Name]],Background!$C:$D,2,FALSE))</f>
        <v/>
      </c>
    </row>
    <row r="145" spans="3:3" x14ac:dyDescent="0.25">
      <c r="C145" t="str">
        <f>IF(Table2[[#This Row],[Name]]="","",VLOOKUP(Table2[[#This Row],[Name]],Background!$C:$D,2,FALSE))</f>
        <v/>
      </c>
    </row>
    <row r="146" spans="3:3" x14ac:dyDescent="0.25">
      <c r="C146" t="str">
        <f>IF(Table2[[#This Row],[Name]]="","",VLOOKUP(Table2[[#This Row],[Name]],Background!$C:$D,2,FALSE))</f>
        <v/>
      </c>
    </row>
    <row r="147" spans="3:3" x14ac:dyDescent="0.25">
      <c r="C147" t="str">
        <f>IF(Table2[[#This Row],[Name]]="","",VLOOKUP(Table2[[#This Row],[Name]],Background!$C:$D,2,FALSE))</f>
        <v/>
      </c>
    </row>
    <row r="148" spans="3:3" x14ac:dyDescent="0.25">
      <c r="C148" t="str">
        <f>IF(Table2[[#This Row],[Name]]="","",VLOOKUP(Table2[[#This Row],[Name]],Background!$C:$D,2,FALSE))</f>
        <v/>
      </c>
    </row>
    <row r="149" spans="3:3" x14ac:dyDescent="0.25">
      <c r="C149" t="str">
        <f>IF(Table2[[#This Row],[Name]]="","",VLOOKUP(Table2[[#This Row],[Name]],Background!$C:$D,2,FALSE))</f>
        <v/>
      </c>
    </row>
    <row r="150" spans="3:3" x14ac:dyDescent="0.25">
      <c r="C150" t="str">
        <f>IF(Table2[[#This Row],[Name]]="","",VLOOKUP(Table2[[#This Row],[Name]],Background!$C:$D,2,FALSE))</f>
        <v/>
      </c>
    </row>
    <row r="151" spans="3:3" x14ac:dyDescent="0.25">
      <c r="C151" t="str">
        <f>IF(Table2[[#This Row],[Name]]="","",VLOOKUP(Table2[[#This Row],[Name]],Background!$C:$D,2,FALSE))</f>
        <v/>
      </c>
    </row>
    <row r="152" spans="3:3" x14ac:dyDescent="0.25">
      <c r="C152" t="str">
        <f>IF(Table2[[#This Row],[Name]]="","",VLOOKUP(Table2[[#This Row],[Name]],Background!$C:$D,2,FALSE))</f>
        <v/>
      </c>
    </row>
    <row r="153" spans="3:3" x14ac:dyDescent="0.25">
      <c r="C153" t="str">
        <f>IF(Table2[[#This Row],[Name]]="","",VLOOKUP(Table2[[#This Row],[Name]],Background!$C:$D,2,FALSE))</f>
        <v/>
      </c>
    </row>
    <row r="154" spans="3:3" x14ac:dyDescent="0.25">
      <c r="C154" t="str">
        <f>IF(Table2[[#This Row],[Name]]="","",VLOOKUP(Table2[[#This Row],[Name]],Background!$C:$D,2,FALSE))</f>
        <v/>
      </c>
    </row>
    <row r="155" spans="3:3" x14ac:dyDescent="0.25">
      <c r="C155" t="str">
        <f>IF(Table2[[#This Row],[Name]]="","",VLOOKUP(Table2[[#This Row],[Name]],Background!$C:$D,2,FALSE))</f>
        <v/>
      </c>
    </row>
    <row r="156" spans="3:3" x14ac:dyDescent="0.25">
      <c r="C156" t="str">
        <f>IF(Table2[[#This Row],[Name]]="","",VLOOKUP(Table2[[#This Row],[Name]],Background!$C:$D,2,FALSE))</f>
        <v/>
      </c>
    </row>
    <row r="157" spans="3:3" x14ac:dyDescent="0.25">
      <c r="C157" t="str">
        <f>IF(Table2[[#This Row],[Name]]="","",VLOOKUP(Table2[[#This Row],[Name]],Background!$C:$D,2,FALSE))</f>
        <v/>
      </c>
    </row>
    <row r="158" spans="3:3" x14ac:dyDescent="0.25">
      <c r="C158" t="str">
        <f>IF(Table2[[#This Row],[Name]]="","",VLOOKUP(Table2[[#This Row],[Name]],Background!$C:$D,2,FALSE))</f>
        <v/>
      </c>
    </row>
    <row r="159" spans="3:3" x14ac:dyDescent="0.25">
      <c r="C159" t="str">
        <f>IF(Table2[[#This Row],[Name]]="","",VLOOKUP(Table2[[#This Row],[Name]],Background!$C:$D,2,FALSE))</f>
        <v/>
      </c>
    </row>
    <row r="160" spans="3:3" x14ac:dyDescent="0.25">
      <c r="C160" t="str">
        <f>IF(Table2[[#This Row],[Name]]="","",VLOOKUP(Table2[[#This Row],[Name]],Background!$C:$D,2,FALSE))</f>
        <v/>
      </c>
    </row>
    <row r="161" spans="3:3" x14ac:dyDescent="0.25">
      <c r="C161" t="str">
        <f>IF(Table2[[#This Row],[Name]]="","",VLOOKUP(Table2[[#This Row],[Name]],Background!$C:$D,2,FALSE))</f>
        <v/>
      </c>
    </row>
    <row r="162" spans="3:3" x14ac:dyDescent="0.25">
      <c r="C162" t="str">
        <f>IF(Table2[[#This Row],[Name]]="","",VLOOKUP(Table2[[#This Row],[Name]],Background!$C:$D,2,FALSE))</f>
        <v/>
      </c>
    </row>
    <row r="163" spans="3:3" x14ac:dyDescent="0.25">
      <c r="C163" t="str">
        <f>IF(Table2[[#This Row],[Name]]="","",VLOOKUP(Table2[[#This Row],[Name]],Background!$C:$D,2,FALSE))</f>
        <v/>
      </c>
    </row>
    <row r="164" spans="3:3" x14ac:dyDescent="0.25">
      <c r="C164" t="str">
        <f>IF(Table2[[#This Row],[Name]]="","",VLOOKUP(Table2[[#This Row],[Name]],Background!$C:$D,2,FALSE))</f>
        <v/>
      </c>
    </row>
    <row r="165" spans="3:3" x14ac:dyDescent="0.25">
      <c r="C165" t="str">
        <f>IF(Table2[[#This Row],[Name]]="","",VLOOKUP(Table2[[#This Row],[Name]],Background!$C:$D,2,FALSE))</f>
        <v/>
      </c>
    </row>
    <row r="166" spans="3:3" x14ac:dyDescent="0.25">
      <c r="C166" t="str">
        <f>IF(Table2[[#This Row],[Name]]="","",VLOOKUP(Table2[[#This Row],[Name]],Background!$C:$D,2,FALSE))</f>
        <v/>
      </c>
    </row>
    <row r="167" spans="3:3" x14ac:dyDescent="0.25">
      <c r="C167" t="str">
        <f>IF(Table2[[#This Row],[Name]]="","",VLOOKUP(Table2[[#This Row],[Name]],Background!$C:$D,2,FALSE))</f>
        <v/>
      </c>
    </row>
    <row r="168" spans="3:3" x14ac:dyDescent="0.25">
      <c r="C168" t="str">
        <f>IF(Table2[[#This Row],[Name]]="","",VLOOKUP(Table2[[#This Row],[Name]],Background!$C:$D,2,FALSE))</f>
        <v/>
      </c>
    </row>
    <row r="169" spans="3:3" x14ac:dyDescent="0.25">
      <c r="C169" t="str">
        <f>IF(Table2[[#This Row],[Name]]="","",VLOOKUP(Table2[[#This Row],[Name]],Background!$C:$D,2,FALSE))</f>
        <v/>
      </c>
    </row>
    <row r="170" spans="3:3" x14ac:dyDescent="0.25">
      <c r="C170" t="str">
        <f>IF(Table2[[#This Row],[Name]]="","",VLOOKUP(Table2[[#This Row],[Name]],Background!$C:$D,2,FALSE))</f>
        <v/>
      </c>
    </row>
    <row r="171" spans="3:3" x14ac:dyDescent="0.25">
      <c r="C171" t="str">
        <f>IF(Table2[[#This Row],[Name]]="","",VLOOKUP(Table2[[#This Row],[Name]],Background!$C:$D,2,FALSE))</f>
        <v/>
      </c>
    </row>
    <row r="172" spans="3:3" x14ac:dyDescent="0.25">
      <c r="C172" t="str">
        <f>IF(Table2[[#This Row],[Name]]="","",VLOOKUP(Table2[[#This Row],[Name]],Background!$C:$D,2,FALSE))</f>
        <v/>
      </c>
    </row>
    <row r="173" spans="3:3" x14ac:dyDescent="0.25">
      <c r="C173" t="str">
        <f>IF(Table2[[#This Row],[Name]]="","",VLOOKUP(Table2[[#This Row],[Name]],Background!$C:$D,2,FALSE))</f>
        <v/>
      </c>
    </row>
    <row r="174" spans="3:3" x14ac:dyDescent="0.25">
      <c r="C174" t="str">
        <f>IF(Table2[[#This Row],[Name]]="","",VLOOKUP(Table2[[#This Row],[Name]],Background!$C:$D,2,FALSE))</f>
        <v/>
      </c>
    </row>
    <row r="175" spans="3:3" x14ac:dyDescent="0.25">
      <c r="C175" t="str">
        <f>IF(Table2[[#This Row],[Name]]="","",VLOOKUP(Table2[[#This Row],[Name]],Background!$C:$D,2,FALSE))</f>
        <v/>
      </c>
    </row>
    <row r="176" spans="3:3" x14ac:dyDescent="0.25">
      <c r="C176" t="str">
        <f>IF(Table2[[#This Row],[Name]]="","",VLOOKUP(Table2[[#This Row],[Name]],Background!$C:$D,2,FALSE))</f>
        <v/>
      </c>
    </row>
    <row r="177" spans="3:3" x14ac:dyDescent="0.25">
      <c r="C177" t="str">
        <f>IF(Table2[[#This Row],[Name]]="","",VLOOKUP(Table2[[#This Row],[Name]],Background!$C:$D,2,FALSE))</f>
        <v/>
      </c>
    </row>
    <row r="178" spans="3:3" x14ac:dyDescent="0.25">
      <c r="C178" t="str">
        <f>IF(Table2[[#This Row],[Name]]="","",VLOOKUP(Table2[[#This Row],[Name]],Background!$C:$D,2,FALSE))</f>
        <v/>
      </c>
    </row>
    <row r="179" spans="3:3" x14ac:dyDescent="0.25">
      <c r="C179" t="str">
        <f>IF(Table2[[#This Row],[Name]]="","",VLOOKUP(Table2[[#This Row],[Name]],Background!$C:$D,2,FALSE))</f>
        <v/>
      </c>
    </row>
    <row r="180" spans="3:3" x14ac:dyDescent="0.25">
      <c r="C180" t="str">
        <f>IF(Table2[[#This Row],[Name]]="","",VLOOKUP(Table2[[#This Row],[Name]],Background!$C:$D,2,FALSE))</f>
        <v/>
      </c>
    </row>
    <row r="181" spans="3:3" x14ac:dyDescent="0.25">
      <c r="C181" t="str">
        <f>IF(Table2[[#This Row],[Name]]="","",VLOOKUP(Table2[[#This Row],[Name]],Background!$C:$D,2,FALSE))</f>
        <v/>
      </c>
    </row>
    <row r="182" spans="3:3" x14ac:dyDescent="0.25">
      <c r="C182" t="str">
        <f>IF(Table2[[#This Row],[Name]]="","",VLOOKUP(Table2[[#This Row],[Name]],Background!$C:$D,2,FALSE))</f>
        <v/>
      </c>
    </row>
    <row r="183" spans="3:3" x14ac:dyDescent="0.25">
      <c r="C183" t="str">
        <f>IF(Table2[[#This Row],[Name]]="","",VLOOKUP(Table2[[#This Row],[Name]],Background!$C:$D,2,FALSE))</f>
        <v/>
      </c>
    </row>
    <row r="184" spans="3:3" x14ac:dyDescent="0.25">
      <c r="C184" t="str">
        <f>IF(Table2[[#This Row],[Name]]="","",VLOOKUP(Table2[[#This Row],[Name]],Background!$C:$D,2,FALSE))</f>
        <v/>
      </c>
    </row>
    <row r="185" spans="3:3" x14ac:dyDescent="0.25">
      <c r="C185" t="str">
        <f>IF(Table2[[#This Row],[Name]]="","",VLOOKUP(Table2[[#This Row],[Name]],Background!$C:$D,2,FALSE))</f>
        <v/>
      </c>
    </row>
    <row r="186" spans="3:3" x14ac:dyDescent="0.25">
      <c r="C186" t="str">
        <f>IF(Table2[[#This Row],[Name]]="","",VLOOKUP(Table2[[#This Row],[Name]],Background!$C:$D,2,FALSE))</f>
        <v/>
      </c>
    </row>
    <row r="187" spans="3:3" x14ac:dyDescent="0.25">
      <c r="C187" t="str">
        <f>IF(Table2[[#This Row],[Name]]="","",VLOOKUP(Table2[[#This Row],[Name]],Background!$C:$D,2,FALSE))</f>
        <v/>
      </c>
    </row>
    <row r="188" spans="3:3" x14ac:dyDescent="0.25">
      <c r="C188" t="str">
        <f>IF(Table2[[#This Row],[Name]]="","",VLOOKUP(Table2[[#This Row],[Name]],Background!$C:$D,2,FALSE))</f>
        <v/>
      </c>
    </row>
    <row r="189" spans="3:3" x14ac:dyDescent="0.25">
      <c r="C189" t="str">
        <f>IF(Table2[[#This Row],[Name]]="","",VLOOKUP(Table2[[#This Row],[Name]],Background!$C:$D,2,FALSE))</f>
        <v/>
      </c>
    </row>
    <row r="190" spans="3:3" x14ac:dyDescent="0.25">
      <c r="C190" t="str">
        <f>IF(Table2[[#This Row],[Name]]="","",VLOOKUP(Table2[[#This Row],[Name]],Background!$C:$D,2,FALSE))</f>
        <v/>
      </c>
    </row>
    <row r="191" spans="3:3" x14ac:dyDescent="0.25">
      <c r="C191" t="str">
        <f>IF(Table2[[#This Row],[Name]]="","",VLOOKUP(Table2[[#This Row],[Name]],Background!$C:$D,2,FALSE))</f>
        <v/>
      </c>
    </row>
    <row r="192" spans="3:3" x14ac:dyDescent="0.25">
      <c r="C192" t="str">
        <f>IF(Table2[[#This Row],[Name]]="","",VLOOKUP(Table2[[#This Row],[Name]],Background!$C:$D,2,FALSE))</f>
        <v/>
      </c>
    </row>
    <row r="193" spans="3:3" x14ac:dyDescent="0.25">
      <c r="C193" t="str">
        <f>IF(Table2[[#This Row],[Name]]="","",VLOOKUP(Table2[[#This Row],[Name]],Background!$C:$D,2,FALSE))</f>
        <v/>
      </c>
    </row>
    <row r="194" spans="3:3" x14ac:dyDescent="0.25">
      <c r="C194" t="str">
        <f>IF(Table2[[#This Row],[Name]]="","",VLOOKUP(Table2[[#This Row],[Name]],Background!$C:$D,2,FALSE))</f>
        <v/>
      </c>
    </row>
    <row r="195" spans="3:3" x14ac:dyDescent="0.25">
      <c r="C195" t="str">
        <f>IF(Table2[[#This Row],[Name]]="","",VLOOKUP(Table2[[#This Row],[Name]],Background!$C:$D,2,FALSE))</f>
        <v/>
      </c>
    </row>
    <row r="196" spans="3:3" x14ac:dyDescent="0.25">
      <c r="C196" t="str">
        <f>IF(Table2[[#This Row],[Name]]="","",VLOOKUP(Table2[[#This Row],[Name]],Background!$C:$D,2,FALSE))</f>
        <v/>
      </c>
    </row>
    <row r="197" spans="3:3" x14ac:dyDescent="0.25">
      <c r="C197" t="str">
        <f>IF(Table2[[#This Row],[Name]]="","",VLOOKUP(Table2[[#This Row],[Name]],Background!$C:$D,2,FALSE))</f>
        <v/>
      </c>
    </row>
    <row r="198" spans="3:3" x14ac:dyDescent="0.25">
      <c r="C198" t="str">
        <f>IF(Table2[[#This Row],[Name]]="","",VLOOKUP(Table2[[#This Row],[Name]],Background!$C:$D,2,FALSE))</f>
        <v/>
      </c>
    </row>
    <row r="199" spans="3:3" x14ac:dyDescent="0.25">
      <c r="C199" t="str">
        <f>IF(Table2[[#This Row],[Name]]="","",VLOOKUP(Table2[[#This Row],[Name]],Background!$C:$D,2,FALSE))</f>
        <v/>
      </c>
    </row>
    <row r="200" spans="3:3" x14ac:dyDescent="0.25">
      <c r="C200" t="str">
        <f>IF(Table2[[#This Row],[Name]]="","",VLOOKUP(Table2[[#This Row],[Name]],Background!$C:$D,2,FALSE))</f>
        <v/>
      </c>
    </row>
    <row r="201" spans="3:3" x14ac:dyDescent="0.25">
      <c r="C201" t="str">
        <f>IF(Table2[[#This Row],[Name]]="","",VLOOKUP(Table2[[#This Row],[Name]],Background!$C:$D,2,FALSE))</f>
        <v/>
      </c>
    </row>
    <row r="202" spans="3:3" x14ac:dyDescent="0.25">
      <c r="C202" t="str">
        <f>IF(Table2[[#This Row],[Name]]="","",VLOOKUP(Table2[[#This Row],[Name]],Background!$C:$D,2,FALSE))</f>
        <v/>
      </c>
    </row>
    <row r="203" spans="3:3" x14ac:dyDescent="0.25">
      <c r="C203" t="str">
        <f>IF(Table2[[#This Row],[Name]]="","",VLOOKUP(Table2[[#This Row],[Name]],Background!$C:$D,2,FALSE))</f>
        <v/>
      </c>
    </row>
    <row r="204" spans="3:3" x14ac:dyDescent="0.25">
      <c r="C204" t="str">
        <f>IF(Table2[[#This Row],[Name]]="","",VLOOKUP(Table2[[#This Row],[Name]],Background!$C:$D,2,FALSE))</f>
        <v/>
      </c>
    </row>
    <row r="205" spans="3:3" x14ac:dyDescent="0.25">
      <c r="C205" t="str">
        <f>IF(Table2[[#This Row],[Name]]="","",VLOOKUP(Table2[[#This Row],[Name]],Background!$C:$D,2,FALSE))</f>
        <v/>
      </c>
    </row>
    <row r="206" spans="3:3" x14ac:dyDescent="0.25">
      <c r="C206" t="str">
        <f>IF(Table2[[#This Row],[Name]]="","",VLOOKUP(Table2[[#This Row],[Name]],Background!$C:$D,2,FALSE))</f>
        <v/>
      </c>
    </row>
    <row r="207" spans="3:3" x14ac:dyDescent="0.25">
      <c r="C207" t="str">
        <f>IF(Table2[[#This Row],[Name]]="","",VLOOKUP(Table2[[#This Row],[Name]],Background!$C:$D,2,FALSE))</f>
        <v/>
      </c>
    </row>
    <row r="208" spans="3:3" x14ac:dyDescent="0.25">
      <c r="C208" t="str">
        <f>IF(Table2[[#This Row],[Name]]="","",VLOOKUP(Table2[[#This Row],[Name]],Background!$C:$D,2,FALSE))</f>
        <v/>
      </c>
    </row>
    <row r="209" spans="3:3" x14ac:dyDescent="0.25">
      <c r="C209" t="str">
        <f>IF(Table2[[#This Row],[Name]]="","",VLOOKUP(Table2[[#This Row],[Name]],Background!$C:$D,2,FALSE))</f>
        <v/>
      </c>
    </row>
    <row r="210" spans="3:3" x14ac:dyDescent="0.25">
      <c r="C210" t="str">
        <f>IF(Table2[[#This Row],[Name]]="","",VLOOKUP(Table2[[#This Row],[Name]],Background!$C:$D,2,FALSE))</f>
        <v/>
      </c>
    </row>
    <row r="211" spans="3:3" x14ac:dyDescent="0.25">
      <c r="C211" t="str">
        <f>IF(Table2[[#This Row],[Name]]="","",VLOOKUP(Table2[[#This Row],[Name]],Background!$C:$D,2,FALSE))</f>
        <v/>
      </c>
    </row>
    <row r="212" spans="3:3" x14ac:dyDescent="0.25">
      <c r="C212" t="str">
        <f>IF(Table2[[#This Row],[Name]]="","",VLOOKUP(Table2[[#This Row],[Name]],Background!$C:$D,2,FALSE))</f>
        <v/>
      </c>
    </row>
    <row r="213" spans="3:3" x14ac:dyDescent="0.25">
      <c r="C213" t="str">
        <f>IF(Table2[[#This Row],[Name]]="","",VLOOKUP(Table2[[#This Row],[Name]],Background!$C:$D,2,FALSE))</f>
        <v/>
      </c>
    </row>
    <row r="214" spans="3:3" x14ac:dyDescent="0.25">
      <c r="C214" t="str">
        <f>IF(Table2[[#This Row],[Name]]="","",VLOOKUP(Table2[[#This Row],[Name]],Background!$C:$D,2,FALSE))</f>
        <v/>
      </c>
    </row>
    <row r="215" spans="3:3" x14ac:dyDescent="0.25">
      <c r="C215" t="str">
        <f>IF(Table2[[#This Row],[Name]]="","",VLOOKUP(Table2[[#This Row],[Name]],Background!$C:$D,2,FALSE))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D5C0F4-EDE8-4959-AFE0-0C0F1A60A0F5}">
          <x14:formula1>
            <xm:f>Background!$C$2:$C$15</xm:f>
          </x14:formula1>
          <xm:sqref>D2:D1048576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EE081-1140-4C22-931F-D09885B1D744}">
  <sheetPr codeName="Sheet5"/>
  <dimension ref="B2:D8"/>
  <sheetViews>
    <sheetView workbookViewId="0">
      <selection activeCell="D3" sqref="D3"/>
    </sheetView>
  </sheetViews>
  <sheetFormatPr defaultRowHeight="15" x14ac:dyDescent="0.25"/>
  <cols>
    <col min="3" max="3" width="15" bestFit="1" customWidth="1"/>
  </cols>
  <sheetData>
    <row r="2" spans="2:4" x14ac:dyDescent="0.25">
      <c r="B2" s="6" t="s">
        <v>2</v>
      </c>
      <c r="C2" s="6" t="s">
        <v>39</v>
      </c>
      <c r="D2" s="6" t="s">
        <v>44</v>
      </c>
    </row>
    <row r="3" spans="2:4" x14ac:dyDescent="0.25">
      <c r="B3" t="str">
        <f>IF(Targets!$B$17="","",Targets!$B$17)</f>
        <v>E4105</v>
      </c>
      <c r="C3" t="str">
        <f>IF(Targets!$C$17="","",Targets!$C$17)</f>
        <v>Janet Fuller</v>
      </c>
      <c r="D3" s="47">
        <f>SUM(Dashboard!$D$28:$H$28)/5</f>
        <v>1.56</v>
      </c>
    </row>
    <row r="4" spans="2:4" x14ac:dyDescent="0.25">
      <c r="B4" t="str">
        <f>IF(Targets!$B$20="","",Targets!$B$20)</f>
        <v>E4177</v>
      </c>
      <c r="C4" t="str">
        <f>IF(Targets!$C$20="","",Targets!$C$20)</f>
        <v>Jacob Newell</v>
      </c>
      <c r="D4" s="47">
        <f>SUM(Dashboard!$D$46:$H$46)/5</f>
        <v>1.1000000000000001</v>
      </c>
    </row>
    <row r="5" spans="2:4" x14ac:dyDescent="0.25">
      <c r="B5" t="str">
        <f>IF(Targets!$B$19="","",Targets!$B$19)</f>
        <v>E5523</v>
      </c>
      <c r="C5" t="str">
        <f>IF(Targets!$C$19="","",Targets!$C$19)</f>
        <v>Liara Thompson</v>
      </c>
      <c r="D5" s="47">
        <f>SUM(Dashboard!$D$37:$H$37)/5</f>
        <v>1.0566666666666666</v>
      </c>
    </row>
    <row r="6" spans="2:4" x14ac:dyDescent="0.25">
      <c r="B6" t="str">
        <f>IF(Targets!$B$22="","",Targets!$B$22)</f>
        <v>E3897</v>
      </c>
      <c r="C6" t="str">
        <f>IF(Targets!$C$22="","",Targets!$C$22)</f>
        <v>Nadia Williams</v>
      </c>
      <c r="D6" s="47">
        <f>SUM(Dashboard!$L$46:$P$46)/5</f>
        <v>0.97</v>
      </c>
    </row>
    <row r="7" spans="2:4" x14ac:dyDescent="0.25">
      <c r="B7" t="str">
        <f>IF(Targets!$B$21="","",Targets!$B$21)</f>
        <v>E5138</v>
      </c>
      <c r="C7" t="str">
        <f>IF(Targets!$C$21="","",Targets!$C$21)</f>
        <v>Elliot Decker</v>
      </c>
      <c r="D7" s="47">
        <f>SUM(Dashboard!$L$37:$P$37)/5</f>
        <v>0.92777777777777781</v>
      </c>
    </row>
    <row r="8" spans="2:4" x14ac:dyDescent="0.25">
      <c r="B8" t="str">
        <f>IF(Targets!$B$18="","",Targets!$B$18)</f>
        <v>E3642</v>
      </c>
      <c r="C8" t="str">
        <f>IF(Targets!$C$18="","",Targets!$C$18)</f>
        <v>Kaiden Smith</v>
      </c>
      <c r="D8" s="47">
        <f>SUM(Dashboard!$L$28:$P$28)/5</f>
        <v>0.9</v>
      </c>
    </row>
  </sheetData>
  <autoFilter ref="B2:D8" xr:uid="{C914A833-3E79-4858-A8E0-F4D1D8C85617}">
    <sortState xmlns:xlrd2="http://schemas.microsoft.com/office/spreadsheetml/2017/richdata2" ref="B3:D8">
      <sortCondition descending="1" ref="D2:D8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577A3-D42C-4D17-9A98-E3616E21FAD9}">
  <sheetPr codeName="Sheet6"/>
  <dimension ref="C1:J13"/>
  <sheetViews>
    <sheetView workbookViewId="0">
      <selection activeCell="I1" sqref="I1:J1"/>
    </sheetView>
  </sheetViews>
  <sheetFormatPr defaultRowHeight="15" x14ac:dyDescent="0.25"/>
  <cols>
    <col min="3" max="3" width="15.5703125" customWidth="1"/>
    <col min="7" max="7" width="10.7109375" bestFit="1" customWidth="1"/>
    <col min="9" max="9" width="37.140625" bestFit="1" customWidth="1"/>
  </cols>
  <sheetData>
    <row r="1" spans="3:10" s="40" customFormat="1" x14ac:dyDescent="0.25">
      <c r="C1" s="88" t="s">
        <v>3</v>
      </c>
      <c r="D1" s="88" t="s">
        <v>2</v>
      </c>
      <c r="F1" s="88" t="s">
        <v>0</v>
      </c>
      <c r="G1" s="88" t="s">
        <v>23</v>
      </c>
      <c r="I1" s="88" t="s">
        <v>43</v>
      </c>
      <c r="J1" s="88" t="s">
        <v>56</v>
      </c>
    </row>
    <row r="2" spans="3:10" x14ac:dyDescent="0.25">
      <c r="C2" t="s">
        <v>11</v>
      </c>
      <c r="D2" t="s">
        <v>16</v>
      </c>
      <c r="F2" t="s">
        <v>24</v>
      </c>
      <c r="G2" s="7">
        <v>44562</v>
      </c>
      <c r="I2" t="s">
        <v>52</v>
      </c>
      <c r="J2" s="76">
        <v>300</v>
      </c>
    </row>
    <row r="3" spans="3:10" x14ac:dyDescent="0.25">
      <c r="C3" t="s">
        <v>12</v>
      </c>
      <c r="D3" t="s">
        <v>17</v>
      </c>
      <c r="F3" t="s">
        <v>25</v>
      </c>
      <c r="G3" s="7">
        <v>44593</v>
      </c>
      <c r="I3" t="s">
        <v>53</v>
      </c>
      <c r="J3" s="76">
        <v>2500</v>
      </c>
    </row>
    <row r="4" spans="3:10" x14ac:dyDescent="0.25">
      <c r="C4" t="s">
        <v>13</v>
      </c>
      <c r="D4" t="s">
        <v>18</v>
      </c>
      <c r="F4" t="s">
        <v>26</v>
      </c>
      <c r="G4" s="7">
        <v>44621</v>
      </c>
      <c r="I4" t="s">
        <v>54</v>
      </c>
      <c r="J4" s="76">
        <v>4000</v>
      </c>
    </row>
    <row r="5" spans="3:10" x14ac:dyDescent="0.25">
      <c r="C5" t="s">
        <v>14</v>
      </c>
      <c r="D5" t="s">
        <v>19</v>
      </c>
      <c r="F5" t="s">
        <v>27</v>
      </c>
      <c r="G5" s="7">
        <v>44652</v>
      </c>
      <c r="I5" t="s">
        <v>55</v>
      </c>
      <c r="J5" s="76">
        <v>400</v>
      </c>
    </row>
    <row r="6" spans="3:10" x14ac:dyDescent="0.25">
      <c r="C6" t="s">
        <v>15</v>
      </c>
      <c r="D6" t="s">
        <v>20</v>
      </c>
      <c r="F6" t="s">
        <v>28</v>
      </c>
      <c r="G6" s="7">
        <v>44682</v>
      </c>
      <c r="I6" t="s">
        <v>62</v>
      </c>
      <c r="J6" s="76">
        <v>200</v>
      </c>
    </row>
    <row r="7" spans="3:10" x14ac:dyDescent="0.25">
      <c r="C7" t="s">
        <v>22</v>
      </c>
      <c r="D7" t="s">
        <v>21</v>
      </c>
      <c r="F7" t="s">
        <v>29</v>
      </c>
      <c r="G7" s="7">
        <v>44713</v>
      </c>
    </row>
    <row r="8" spans="3:10" x14ac:dyDescent="0.25">
      <c r="F8" t="s">
        <v>30</v>
      </c>
      <c r="G8" s="7">
        <v>44743</v>
      </c>
    </row>
    <row r="9" spans="3:10" x14ac:dyDescent="0.25">
      <c r="F9" t="s">
        <v>31</v>
      </c>
      <c r="G9" s="7">
        <v>44774</v>
      </c>
    </row>
    <row r="10" spans="3:10" x14ac:dyDescent="0.25">
      <c r="F10" t="s">
        <v>32</v>
      </c>
      <c r="G10" s="7">
        <v>44805</v>
      </c>
    </row>
    <row r="11" spans="3:10" x14ac:dyDescent="0.25">
      <c r="F11" t="s">
        <v>33</v>
      </c>
      <c r="G11" s="7">
        <v>44835</v>
      </c>
    </row>
    <row r="12" spans="3:10" x14ac:dyDescent="0.25">
      <c r="F12" t="s">
        <v>34</v>
      </c>
      <c r="G12" s="7">
        <v>44866</v>
      </c>
    </row>
    <row r="13" spans="3:10" x14ac:dyDescent="0.25">
      <c r="F13" t="s">
        <v>35</v>
      </c>
      <c r="G13" s="7">
        <v>44896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 Overview</vt:lpstr>
      <vt:lpstr>Dashboard</vt:lpstr>
      <vt:lpstr>Targets</vt:lpstr>
      <vt:lpstr>Transactions</vt:lpstr>
      <vt:lpstr>Shifts</vt:lpstr>
      <vt:lpstr>ChartTable</vt:lpstr>
      <vt:lpstr>Background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 Twine</dc:creator>
  <cp:lastModifiedBy>Sara Twine</cp:lastModifiedBy>
  <dcterms:created xsi:type="dcterms:W3CDTF">2019-09-12T00:05:05Z</dcterms:created>
  <dcterms:modified xsi:type="dcterms:W3CDTF">2023-03-13T05:11:25Z</dcterms:modified>
</cp:coreProperties>
</file>